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coring Method" sheetId="2" state="visible" r:id="rId4"/>
    <sheet name="Assets" sheetId="3" state="visible" r:id="rId5"/>
    <sheet name="CSF Gap Assessment" sheetId="4" state="visible" r:id="rId6"/>
    <sheet name="Risk Register"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<sst xmlns="http://schemas.openxmlformats.org/spreadsheetml/2006/main" count="517" uniqueCount="404">
  <si>
    <t xml:space="preserve">Northbank Freight Services: NIST CSF 2.0 Risk Assessment and Risk Register</t>
  </si>
  <si>
    <t xml:space="preserve">Fictional training scenario. Analyst: Waseem Akram Shaik. The company, people and findings are made up for practice.</t>
  </si>
  <si>
    <t xml:space="preserve">HOW TO USE THIS WORKBOOK</t>
  </si>
  <si>
    <t xml:space="preserve">1. Scoring Method: read the scales and thresholds. Rating thresholds are assumption cells (yellow); change them there and every rating updates.</t>
  </si>
  <si>
    <t xml:space="preserve">2. Assets: rate each asset's criticality (1-5) and write one line of why.</t>
  </si>
  <si>
    <t xml:space="preserve">3. CSF Gap Assessment: for each of the 22 CSF 2.0 categories, enter current and target maturity (0-4) and the evidence IDs (F-01 etc.) behind your score.</t>
  </si>
  <si>
    <t xml:space="preserve">4. Risk Register: one row per risk. Fill the yellow cells. Scores, ratings and priority calculate automatically.</t>
  </si>
  <si>
    <t xml:space="preserve">5. Summary: nothing to type. It counts your register and gap scores. Check that the numbers look right.</t>
  </si>
  <si>
    <t xml:space="preserve">LEGEND</t>
  </si>
  <si>
    <t xml:space="preserve">Yellow cells = you fill in.   White cells with black text = formulas, do not overwrite.   Grey = reference text.</t>
  </si>
  <si>
    <t xml:space="preserve">EXAMPLE ROW (for format only; write your own wording and do not copy it)</t>
  </si>
  <si>
    <t xml:space="preserve">Risk title</t>
  </si>
  <si>
    <t xml:space="preserve">Email accounts taken over through stolen passwords</t>
  </si>
  <si>
    <t xml:space="preserve">Evidence IDs</t>
  </si>
  <si>
    <t xml:space="preserve">F-01, F-06</t>
  </si>
  <si>
    <t xml:space="preserve">Risk statement</t>
  </si>
  <si>
    <t xml:space="preserve">Because 137 of 140 email users sign in with a password only and staff have entered credentials on fake pages before, an attacker who phishes a password could read mail and impersonate staff, leading to fraudulent payment requests and exposure of customer data.</t>
  </si>
  <si>
    <t xml:space="preserve">CSF category</t>
  </si>
  <si>
    <t xml:space="preserve">PR.AA (Identity Management, Authentication, and Access Control)</t>
  </si>
  <si>
    <t xml:space="preserve">Likelihood / Impact</t>
  </si>
  <si>
    <t xml:space="preserve">4 (Likely) / 4 (Major) = 16, rating High</t>
  </si>
  <si>
    <t xml:space="preserve">Why those scores</t>
  </si>
  <si>
    <t xml:space="preserve">Likelihood 4: credential phishing already succeeded in the past year and MFA is absent for most users. Impact 4: fraud and customer data exposure could cost more than $250k and risk contracts.</t>
  </si>
  <si>
    <t xml:space="preserve">Treatment</t>
  </si>
  <si>
    <t xml:space="preserve">Mitigate: enforce MFA for all users (also required by the Jan 2027 cyber insurance renewal).</t>
  </si>
  <si>
    <t xml:space="preserve">Likelihood scale (12-month view, analyst judgement, not statistics)</t>
  </si>
  <si>
    <t xml:space="preserve">Score</t>
  </si>
  <si>
    <t xml:space="preserve">Label</t>
  </si>
  <si>
    <t xml:space="preserve">Meaning</t>
  </si>
  <si>
    <t xml:space="preserve">Rare</t>
  </si>
  <si>
    <t xml:space="preserve">Under 5% chance in 12 months</t>
  </si>
  <si>
    <t xml:space="preserve">Unlikely</t>
  </si>
  <si>
    <t xml:space="preserve">5% to 20%</t>
  </si>
  <si>
    <t xml:space="preserve">Possible</t>
  </si>
  <si>
    <t xml:space="preserve">20% to 50%</t>
  </si>
  <si>
    <t xml:space="preserve">Likely</t>
  </si>
  <si>
    <t xml:space="preserve">50% to 80%</t>
  </si>
  <si>
    <t xml:space="preserve">Almost certain</t>
  </si>
  <si>
    <t xml:space="preserve">Over 80%, or it has already happened</t>
  </si>
  <si>
    <t xml:space="preserve">Impact scale (worst realistic outcome; dollar ranges are assumptions for this fictional company)</t>
  </si>
  <si>
    <t xml:space="preserve">Minor</t>
  </si>
  <si>
    <t xml:space="preserve">Under 4 hours of disruption; no data exposed; under $10,000</t>
  </si>
  <si>
    <t xml:space="preserve">Moderate</t>
  </si>
  <si>
    <t xml:space="preserve">Up to 1 day disruption; limited internal data exposed; $10,000 to $50,000</t>
  </si>
  <si>
    <t xml:space="preserve">Significant</t>
  </si>
  <si>
    <t xml:space="preserve">1 to 3 days disruption; some personal data exposed; $50,000 to $250,000</t>
  </si>
  <si>
    <t xml:space="preserve">Major</t>
  </si>
  <si>
    <t xml:space="preserve">3 to 7 days disruption; large personal data exposure or loss of a key customer; $250,000 to $1,000,000</t>
  </si>
  <si>
    <t xml:space="preserve">Severe</t>
  </si>
  <si>
    <t xml:space="preserve">Over 1 week disruption; large exposure with legal or regulatory consequences; over $1,000,000</t>
  </si>
  <si>
    <t xml:space="preserve">Rating thresholds (score = likelihood x impact, range 1 to 25). Minimum score for each rating:</t>
  </si>
  <si>
    <t xml:space="preserve">Rating</t>
  </si>
  <si>
    <t xml:space="preserve">Minimum score</t>
  </si>
  <si>
    <t xml:space="preserve">Low</t>
  </si>
  <si>
    <t xml:space="preserve">Accept or monitor</t>
  </si>
  <si>
    <t xml:space="preserve">Medium</t>
  </si>
  <si>
    <t xml:space="preserve">Plan treatment within 90 days</t>
  </si>
  <si>
    <t xml:space="preserve">High</t>
  </si>
  <si>
    <t xml:space="preserve">Treat within 60 days</t>
  </si>
  <si>
    <t xml:space="preserve">Critical</t>
  </si>
  <si>
    <t xml:space="preserve">Treat within 30 days</t>
  </si>
  <si>
    <t xml:space="preserve">Assumption: thresholds are common 5x5 matrix choices, not a NIST requirement. Blue text on yellow = an input you may change.</t>
  </si>
  <si>
    <t xml:space="preserve">CSF maturity scale used in the gap assessment (a simple scale of my own; CSF 2.0 does not prescribe per-category scores)</t>
  </si>
  <si>
    <t xml:space="preserve">Not in place</t>
  </si>
  <si>
    <t xml:space="preserve">Nothing exists</t>
  </si>
  <si>
    <t xml:space="preserve">Ad hoc</t>
  </si>
  <si>
    <t xml:space="preserve">Done informally or by one person; no document</t>
  </si>
  <si>
    <t xml:space="preserve">Partial</t>
  </si>
  <si>
    <t xml:space="preserve">Documented or tool-supported but inconsistent or incomplete</t>
  </si>
  <si>
    <t xml:space="preserve">Defined</t>
  </si>
  <si>
    <t xml:space="preserve">Documented, owned and applied consistently</t>
  </si>
  <si>
    <t xml:space="preserve">Managed</t>
  </si>
  <si>
    <t xml:space="preserve">Measured, reviewed on a schedule and improved</t>
  </si>
  <si>
    <t xml:space="preserve">Asset ID</t>
  </si>
  <si>
    <t xml:space="preserve">Asset</t>
  </si>
  <si>
    <t xml:space="preserve">Type</t>
  </si>
  <si>
    <t xml:space="preserve">Owner (role)</t>
  </si>
  <si>
    <t xml:space="preserve">What it holds or does</t>
  </si>
  <si>
    <t xml:space="preserve">Criticality (1-5)</t>
  </si>
  <si>
    <t xml:space="preserve">Why this criticality (your words)</t>
  </si>
  <si>
    <t xml:space="preserve">A-01</t>
  </si>
  <si>
    <t xml:space="preserve">Microsoft 365 tenant (email, Teams, OneDrive)</t>
  </si>
  <si>
    <t xml:space="preserve">SaaS</t>
  </si>
  <si>
    <t xml:space="preserve">IT Manager</t>
  </si>
  <si>
    <t xml:space="preserve">Email, chat and document sharing for all 140 staff</t>
  </si>
  <si>
    <t xml:space="preserve">All 140 staff depend on it for email, chat and files, and a takeover or outage would stop most office work.</t>
  </si>
  <si>
    <t xml:space="preserve">A-02</t>
  </si>
  <si>
    <t xml:space="preserve">RouteLine TMS (cloud transport management system)</t>
  </si>
  <si>
    <t xml:space="preserve">Operations Director</t>
  </si>
  <si>
    <t xml:space="preserve">Load booking, carrier rates and customer shipments</t>
  </si>
  <si>
    <t xml:space="preserve">It books loads and holds carrier rates and shipments, but the vendor runs it under a 99.5% uptime contract.</t>
  </si>
  <si>
    <t xml:space="preserve">A-03</t>
  </si>
  <si>
    <t xml:space="preserve">StockWise WMS server (Windows Server 2012 R2)</t>
  </si>
  <si>
    <t xml:space="preserve">On-premises server</t>
  </si>
  <si>
    <t xml:space="preserve">Warehouse inventory and shipping; runs the warehouse</t>
  </si>
  <si>
    <t xml:space="preserve">It runs the warehouse, and operations can work manually for only about 4 hours before shipments are delayed.</t>
  </si>
  <si>
    <t xml:space="preserve">A-04</t>
  </si>
  <si>
    <t xml:space="preserve">File server</t>
  </si>
  <si>
    <t xml:space="preserve">Customer contracts, driver documents, payroll exports</t>
  </si>
  <si>
    <t xml:space="preserve">It holds customer contracts, driver documents and payroll exports, but the business can work for a while without it.</t>
  </si>
  <si>
    <t xml:space="preserve">A-05</t>
  </si>
  <si>
    <t xml:space="preserve">Backup NAS</t>
  </si>
  <si>
    <t xml:space="preserve">On-premises storage</t>
  </si>
  <si>
    <t xml:space="preserve">System Administrator</t>
  </si>
  <si>
    <t xml:space="preserve">Nightly backups of servers and file shares</t>
  </si>
  <si>
    <t xml:space="preserve">It is the main way to recover after ransomware or a failure, so losing it removes the safety net.</t>
  </si>
  <si>
    <t xml:space="preserve">A-06</t>
  </si>
  <si>
    <t xml:space="preserve">Office and warehouse network (firewall, switches, Wi-Fi)</t>
  </si>
  <si>
    <t xml:space="preserve">Network</t>
  </si>
  <si>
    <t xml:space="preserve">Connects offices, warehouse, scanners and vendor VPN</t>
  </si>
  <si>
    <t xml:space="preserve">The scanners, WMS server, offices and partner VPN all depend on it.</t>
  </si>
  <si>
    <t xml:space="preserve">A-07</t>
  </si>
  <si>
    <t xml:space="preserve">Employee laptops (85)</t>
  </si>
  <si>
    <t xml:space="preserve">Endpoint</t>
  </si>
  <si>
    <t xml:space="preserve">Staff work devices, some used while travelling</t>
  </si>
  <si>
    <t xml:space="preserve">They are needed for daily work, but each one is replaceable and data is mostly on servers and cloud.</t>
  </si>
  <si>
    <t xml:space="preserve">A-08</t>
  </si>
  <si>
    <t xml:space="preserve">Handheld barcode scanners (30)</t>
  </si>
  <si>
    <t xml:space="preserve">Warehouse Manager</t>
  </si>
  <si>
    <t xml:space="preserve">Scan inventory and shipments into the WMS</t>
  </si>
  <si>
    <t xml:space="preserve">The warehouse needs them to scan goods, but they are cheap and replaceable, and the data sits in the WMS.</t>
  </si>
  <si>
    <t xml:space="preserve">A-09</t>
  </si>
  <si>
    <t xml:space="preserve">EDI site-to-site VPN to partner</t>
  </si>
  <si>
    <t xml:space="preserve">Network / third party</t>
  </si>
  <si>
    <t xml:space="preserve">Exchanges orders with a 3PL partner</t>
  </si>
  <si>
    <t xml:space="preserve">It carries orders for one partner, so an outage hurts that partner's work but not the whole business.</t>
  </si>
  <si>
    <t xml:space="preserve">A-10</t>
  </si>
  <si>
    <t xml:space="preserve">Payroll provider portal (outsourced)</t>
  </si>
  <si>
    <t xml:space="preserve">SaaS / third party</t>
  </si>
  <si>
    <t xml:space="preserve">HR Manager</t>
  </si>
  <si>
    <t xml:space="preserve">Employee pay and tax data</t>
  </si>
  <si>
    <t xml:space="preserve">A problem delays pay and exposes pay data, but the provider runs and secures the system.</t>
  </si>
  <si>
    <t xml:space="preserve">A-11</t>
  </si>
  <si>
    <t xml:space="preserve">Driver and employee personal data (licenses, SSNs)</t>
  </si>
  <si>
    <t xml:space="preserve">Data</t>
  </si>
  <si>
    <t xml:space="preserve">Stored on the file server and in payroll exports</t>
  </si>
  <si>
    <t xml:space="preserve">Driver license copies and Social Security numbers cannot be un-leaked, and a breach brings legal, notice and trust costs.</t>
  </si>
  <si>
    <t xml:space="preserve">A-12</t>
  </si>
  <si>
    <t xml:space="preserve">Customer contracts and pricing</t>
  </si>
  <si>
    <t xml:space="preserve">Commercial Director</t>
  </si>
  <si>
    <t xml:space="preserve">Contract terms and rates</t>
  </si>
  <si>
    <t xml:space="preserve">Exposure would hurt pricing power and customer trust, and some contracts require reasonable security.</t>
  </si>
  <si>
    <t xml:space="preserve">A-13</t>
  </si>
  <si>
    <t xml:space="preserve">Server room and office premises</t>
  </si>
  <si>
    <t xml:space="preserve">Physical</t>
  </si>
  <si>
    <t xml:space="preserve">Facilities Manager</t>
  </si>
  <si>
    <t xml:space="preserve">Houses servers, NAS and network equipment</t>
  </si>
  <si>
    <t xml:space="preserve">It houses the servers and NAS, so physical access matters, but the room can be rebuilt.</t>
  </si>
  <si>
    <t xml:space="preserve">A-14</t>
  </si>
  <si>
    <t xml:space="preserve">Microsoft Defender endpoint protection</t>
  </si>
  <si>
    <t xml:space="preserve">Security tool</t>
  </si>
  <si>
    <t xml:space="preserve">Antivirus and basic endpoint alerts</t>
  </si>
  <si>
    <t xml:space="preserve">It is a protective tool and not a business asset, so losing it raises risk elsewhere without stopping operations.</t>
  </si>
  <si>
    <t xml:space="preserve">CSF 2.0 Function</t>
  </si>
  <si>
    <t xml:space="preserve">Category ID</t>
  </si>
  <si>
    <t xml:space="preserve">Category name</t>
  </si>
  <si>
    <t xml:space="preserve">Current maturity (0-4)</t>
  </si>
  <si>
    <t xml:space="preserve">Target maturity (0-4)</t>
  </si>
  <si>
    <t xml:space="preserve">Gap</t>
  </si>
  <si>
    <t xml:space="preserve">Notes (why you scored it this way)</t>
  </si>
  <si>
    <t xml:space="preserve">GOVERN</t>
  </si>
  <si>
    <t xml:space="preserve">GV.OC</t>
  </si>
  <si>
    <t xml:space="preserve">Organizational Context</t>
  </si>
  <si>
    <t xml:space="preserve">F-15</t>
  </si>
  <si>
    <t xml:space="preserve">The company knows its business priorities, customer security terms and the January 2027 insurance requirement, but cyber is not tied into leadership decisions.</t>
  </si>
  <si>
    <t xml:space="preserve">GV.RM</t>
  </si>
  <si>
    <t xml:space="preserve">Risk Management Strategy</t>
  </si>
  <si>
    <t xml:space="preserve">No named risk owner, no risk reporting to executives and no separate cyber budget; risk is handled informally.</t>
  </si>
  <si>
    <t xml:space="preserve">GV.RR</t>
  </si>
  <si>
    <t xml:space="preserve">Roles, Responsibilities, and Authorities</t>
  </si>
  <si>
    <t xml:space="preserve">F-15, F-08</t>
  </si>
  <si>
    <t xml:space="preserve">No named risk owner and the incident plan lists a former employee, so roles are unclear.</t>
  </si>
  <si>
    <t xml:space="preserve">GV.PO</t>
  </si>
  <si>
    <t xml:space="preserve">Policy</t>
  </si>
  <si>
    <t xml:space="preserve">F-02, F-08</t>
  </si>
  <si>
    <t xml:space="preserve">A password policy and a 2021 incident plan exist, but they are thin and out of date. No other policies were shown.</t>
  </si>
  <si>
    <t xml:space="preserve">GV.OV</t>
  </si>
  <si>
    <t xml:space="preserve">Oversight</t>
  </si>
  <si>
    <t xml:space="preserve">No evidence of cyber oversight or review by leadership.</t>
  </si>
  <si>
    <t xml:space="preserve">GV.SC</t>
  </si>
  <si>
    <t xml:space="preserve">Cybersecurity Supply Chain Risk Management</t>
  </si>
  <si>
    <t xml:space="preserve">F-13, F-09</t>
  </si>
  <si>
    <t xml:space="preserve">12 vendors with no security checks or contract review, and a partner VPN never reviewed since 2019.</t>
  </si>
  <si>
    <t xml:space="preserve">IDENTIFY</t>
  </si>
  <si>
    <t xml:space="preserve">ID.AM</t>
  </si>
  <si>
    <t xml:space="preserve">Asset Management</t>
  </si>
  <si>
    <t xml:space="preserve">F-03</t>
  </si>
  <si>
    <t xml:space="preserve">No central inventory; laptops are tracked in a spreadsheet updated when someone remembers, and scanners are not tracked.</t>
  </si>
  <si>
    <t xml:space="preserve">ID.RA</t>
  </si>
  <si>
    <t xml:space="preserve">Risk Assessment</t>
  </si>
  <si>
    <t xml:space="preserve">F-04, F-15</t>
  </si>
  <si>
    <t xml:space="preserve">Known issues such as the unsupported WMS server are discussed informally, but there is no risk assessment process.</t>
  </si>
  <si>
    <t xml:space="preserve">ID.IM</t>
  </si>
  <si>
    <t xml:space="preserve">Improvement</t>
  </si>
  <si>
    <t xml:space="preserve">F-08</t>
  </si>
  <si>
    <t xml:space="preserve">The incident plan has never been tested and there is no review step after incidents.</t>
  </si>
  <si>
    <t xml:space="preserve">PROTECT</t>
  </si>
  <si>
    <t xml:space="preserve">PR.AA</t>
  </si>
  <si>
    <t xml:space="preserve">Identity Management, Authentication, and Access Control</t>
  </si>
  <si>
    <t xml:space="preserve">F-01, F-02, F-11, F-16, F-19</t>
  </si>
  <si>
    <t xml:space="preserve">MFA covers 3 of 140 users, weak password rules, a shared scanner login, leavers keeping access, and an internet-exposed Remote Desktop.</t>
  </si>
  <si>
    <t xml:space="preserve">PR.AT</t>
  </si>
  <si>
    <t xml:space="preserve">Awareness and Training</t>
  </si>
  <si>
    <t xml:space="preserve">F-06</t>
  </si>
  <si>
    <t xml:space="preserve">Annual training exists, but only one video, with no phishing simulations, and 3 credential-entry incidents happened last year.</t>
  </si>
  <si>
    <t xml:space="preserve">PR.DS</t>
  </si>
  <si>
    <t xml:space="preserve">Data Security</t>
  </si>
  <si>
    <t xml:space="preserve">F-10, F-14, F-05</t>
  </si>
  <si>
    <t xml:space="preserve">25 of 85 laptops unencrypted, sensitive files open to Domain Users, and backups held on the same network.</t>
  </si>
  <si>
    <t xml:space="preserve">PR.PS</t>
  </si>
  <si>
    <t xml:space="preserve">Platform Security</t>
  </si>
  <si>
    <t xml:space="preserve">F-04, F-12, F-17</t>
  </si>
  <si>
    <t xml:space="preserve">Unsupported WMS server, manual monthly patching that missed devices, and Defender alerts nobody reads.</t>
  </si>
  <si>
    <t xml:space="preserve">PR.IR</t>
  </si>
  <si>
    <t xml:space="preserve">Technology Infrastructure Resilience</t>
  </si>
  <si>
    <t xml:space="preserve">F-09, F-05, F-19</t>
  </si>
  <si>
    <t xml:space="preserve">Flat network, a partner VPN with broad reach, backups on the same network and an exposed Remote Desktop.</t>
  </si>
  <si>
    <t xml:space="preserve">DETECT</t>
  </si>
  <si>
    <t xml:space="preserve">DE.CM</t>
  </si>
  <si>
    <t xml:space="preserve">Continuous Monitoring</t>
  </si>
  <si>
    <t xml:space="preserve">F-07, F-17</t>
  </si>
  <si>
    <t xml:space="preserve">No central logging, 7-day firewall logs and Defender alerts sent to a mailbox nobody reads daily.</t>
  </si>
  <si>
    <t xml:space="preserve">DE.AE</t>
  </si>
  <si>
    <t xml:space="preserve">Adverse Event Analysis</t>
  </si>
  <si>
    <t xml:space="preserve">No evidence that anyone analyzes events, and the data needed to do so is not kept.</t>
  </si>
  <si>
    <t xml:space="preserve">RESPOND</t>
  </si>
  <si>
    <t xml:space="preserve">RS.MA</t>
  </si>
  <si>
    <t xml:space="preserve">Incident Management</t>
  </si>
  <si>
    <t xml:space="preserve">A 2-page plan from 2021 with no roles, no exercise and a former employee as contact.</t>
  </si>
  <si>
    <t xml:space="preserve">RS.AN</t>
  </si>
  <si>
    <t xml:space="preserve">Incident Analysis</t>
  </si>
  <si>
    <t xml:space="preserve">F-06, F-07</t>
  </si>
  <si>
    <t xml:space="preserve">IT records incidents informally, but short log retention limits investigation.</t>
  </si>
  <si>
    <t xml:space="preserve">RS.CO</t>
  </si>
  <si>
    <t xml:space="preserve">Incident Response Reporting and Communication</t>
  </si>
  <si>
    <t xml:space="preserve">The plan lists a stale contact, and no evidence of a communication plan for customers or the insurer.</t>
  </si>
  <si>
    <t xml:space="preserve">RS.MI</t>
  </si>
  <si>
    <t xml:space="preserve">Incident Mitigation</t>
  </si>
  <si>
    <t xml:space="preserve">F-17</t>
  </si>
  <si>
    <t xml:space="preserve">No response process for alerts; no evidence of containment procedures.</t>
  </si>
  <si>
    <t xml:space="preserve">RECOVER</t>
  </si>
  <si>
    <t xml:space="preserve">RC.RP</t>
  </si>
  <si>
    <t xml:space="preserve">Incident Recovery Plan Execution</t>
  </si>
  <si>
    <t xml:space="preserve">F-05, F-20</t>
  </si>
  <si>
    <t xml:space="preserve">Backups were never restore-tested, there is no offline copy and no recovery time or recovery point targets.</t>
  </si>
  <si>
    <t xml:space="preserve">RC.CO</t>
  </si>
  <si>
    <t xml:space="preserve">Incident Recovery Communication</t>
  </si>
  <si>
    <t xml:space="preserve">None provided</t>
  </si>
  <si>
    <t xml:space="preserve">No evidence of any recovery communication plan.</t>
  </si>
  <si>
    <t xml:space="preserve">Source for category IDs and names: NIST Cybersecurity Framework 2.0 (nist.gov/cyberframework). Maturity scores use the scale on the Scoring Method sheet.</t>
  </si>
  <si>
    <t xml:space="preserve">Risk ID</t>
  </si>
  <si>
    <t xml:space="preserve">Asset ID(s)</t>
  </si>
  <si>
    <t xml:space="preserve">Evidence ID(s)</t>
  </si>
  <si>
    <t xml:space="preserve">Risk statement (cause, event, impact)</t>
  </si>
  <si>
    <t xml:space="preserve">CSF Function</t>
  </si>
  <si>
    <t xml:space="preserve">CSF Category</t>
  </si>
  <si>
    <t xml:space="preserve">Likelihood (1-5)</t>
  </si>
  <si>
    <t xml:space="preserve">Impact (1-5)</t>
  </si>
  <si>
    <t xml:space="preserve">Inherent score</t>
  </si>
  <si>
    <t xml:space="preserve">Inherent rating</t>
  </si>
  <si>
    <t xml:space="preserve">Existing controls</t>
  </si>
  <si>
    <t xml:space="preserve">Recommended action</t>
  </si>
  <si>
    <t xml:space="preserve">Priority</t>
  </si>
  <si>
    <t xml:space="preserve">Residual likelihood</t>
  </si>
  <si>
    <t xml:space="preserve">Residual impact</t>
  </si>
  <si>
    <t xml:space="preserve">Residual score</t>
  </si>
  <si>
    <t xml:space="preserve">Residual rating</t>
  </si>
  <si>
    <t xml:space="preserve">Scoring rationale (why these scores)</t>
  </si>
  <si>
    <t xml:space="preserve">R-01</t>
  </si>
  <si>
    <t xml:space="preserve">Internet-exposed Remote Desktop leads to ransomware</t>
  </si>
  <si>
    <t xml:space="preserve">A-04, A-05, A-11, A-12</t>
  </si>
  <si>
    <t xml:space="preserve">F-19, F-05, F-02, F-14</t>
  </si>
  <si>
    <t xml:space="preserve">Because Remote Desktop to the file server is reachable from the internet, passwords are weak with no lockout, and backups sit on the same network, an attacker could guess or buy a password, encrypt or steal the file server's data and reach the backups, leading to days of lost work, exposure of driver SSNs and licenses, and customer contract risk.</t>
  </si>
  <si>
    <t xml:space="preserve">Defender on laptops (alerts unread); nightly backups to a NAS on the same network, never restore-tested</t>
  </si>
  <si>
    <t xml:space="preserve">Mitigate</t>
  </si>
  <si>
    <t xml:space="preserve">Close the Remote Desktop port forward now; require a VPN with MFA for remote access; set account lockout; review all firewall rules.</t>
  </si>
  <si>
    <t xml:space="preserve">Likelihood 4: internet-facing Remote Desktop is scanned constantly, there is no lockout (F-02) and the rule has not been reviewed since 2023 (F-19). Impact 5: ransomware or theft would hit personal data, contracts and the backups (F-05), and the flat network could let it spread. Residual impact stays 4 until backups are fixed under R-04.</t>
  </si>
  <si>
    <t xml:space="preserve">R-02</t>
  </si>
  <si>
    <t xml:space="preserve">Unsupported warehouse server fails or is compromised</t>
  </si>
  <si>
    <t xml:space="preserve">A-03, A-06, A-09</t>
  </si>
  <si>
    <t xml:space="preserve">F-04, F-09, F-12, F-20</t>
  </si>
  <si>
    <t xml:space="preserve">Because the warehouse management server runs Windows Server 2012 R2 with no security updates, sits on a flat network reachable from the partner VPN, and operations can work manually for only about 4 hours, an attacker or a failure could take the server down, leading to delayed shipments, missed customer commitments and lost revenue for several days.</t>
  </si>
  <si>
    <t xml:space="preserve">Nightly backup of the server exists but is untested; no vendor patches are available</t>
  </si>
  <si>
    <t xml:space="preserve">Put the server in its own network segment and allow only what the warehouse needs; limit partner VPN access to specific systems; run a restore test; plan migration before the 2028 vendor date.</t>
  </si>
  <si>
    <t xml:space="preserve">IT Manager (with the WMS vendor)</t>
  </si>
  <si>
    <t xml:space="preserve">Likelihood 3: it is unpatched and reachable from the VPN, but not directly exposed to the internet like R-01. Impact 4: it is the core of warehouse operations, and rebuilding an old system with no vendor upgrade path would likely take days (F-20).</t>
  </si>
  <si>
    <t xml:space="preserve">R-03</t>
  </si>
  <si>
    <t xml:space="preserve">Email accounts taken over because MFA is missing for most users</t>
  </si>
  <si>
    <t xml:space="preserve">F-01, F-02, F-06</t>
  </si>
  <si>
    <t xml:space="preserve">Because 137 of 140 email users sign in with a password only, passwords are weak and staff have entered credentials on fake pages before, an attacker who phishes a password could read mail and impersonate staff, leading to fraudulent payment requests, customer data exposure and loss of the cyber insurance renewal terms.</t>
  </si>
  <si>
    <t xml:space="preserve">MFA for the 3 global administrators; annual awareness video</t>
  </si>
  <si>
    <t xml:space="preserve">Enforce MFA for all Microsoft 365 users with Conditional Access; strengthen the password policy and add lockout; add phishing simulations.</t>
  </si>
  <si>
    <t xml:space="preserve">Likelihood 4: credential-entry incidents already happened 3 times last year (F-06) and MFA covers 3 of 140 users (F-01). Impact 4: fraud and customer data exposure could pass $250,000 and put contracts at risk. After MFA, impact falls to 3 because a stolen password alone no longer opens the account.</t>
  </si>
  <si>
    <t xml:space="preserve">R-04</t>
  </si>
  <si>
    <t xml:space="preserve">Backups unusable when needed</t>
  </si>
  <si>
    <t xml:space="preserve">A-05, A-04, A-03</t>
  </si>
  <si>
    <t xml:space="preserve">Because backups are stored on the same network as the servers, an administrator share stays mapped, restores have never been tested and there is no offline copy, ransomware or a hardware failure could destroy or encrypt the backups, leading to a recovery that takes more than a week or loses data permanently.</t>
  </si>
  <si>
    <t xml:space="preserve">Nightly backups to a NAS</t>
  </si>
  <si>
    <t xml:space="preserve">Add an offline or immutable off-site copy; remove the mapped admin share; test a restore quarterly; set recovery time and recovery point targets.</t>
  </si>
  <si>
    <t xml:space="preserve">Likelihood 3: a failure or attack that needs the backups is possible, and untested backups often fail (F-05). Impact 5: without a working backup the company could lose data and be down for over a week. The insurer will also require tested backups.</t>
  </si>
  <si>
    <t xml:space="preserve">R-05</t>
  </si>
  <si>
    <t xml:space="preserve">Departed staff and shared logins misused</t>
  </si>
  <si>
    <t xml:space="preserve">A-01, A-08</t>
  </si>
  <si>
    <t xml:space="preserve">F-16, F-11</t>
  </si>
  <si>
    <t xml:space="preserve">Because 3 of 10 recent leavers still had active accounts after 30 days and all 30 scanners share one login known to every shift worker, a former employee or contractor could sign in without being traced, leading to data theft, unauthorized changes to warehouse records or an investigation that cannot name who did it.</t>
  </si>
  <si>
    <t xml:space="preserve">Access removal relies on HR emailing IT</t>
  </si>
  <si>
    <t xml:space="preserve">Disable accounts on the leaving date through an HR-to-IT checklist; issue individual scanner logins; change the warehouse Wi-Fi password and use a separate guest network for contractors.</t>
  </si>
  <si>
    <t xml:space="preserve">HR Manager and IT Manager</t>
  </si>
  <si>
    <t xml:space="preserve">Likelihood 4: the problem was seen in 3 of 10 leavers and the shared login is known to everyone (F-16, F-11). Impact 3: access to systems and some data, but not the most sensitive stores by itself.</t>
  </si>
  <si>
    <t xml:space="preserve">R-06</t>
  </si>
  <si>
    <t xml:space="preserve">Partner VPN becomes a path into the warehouse network</t>
  </si>
  <si>
    <t xml:space="preserve">A-09, A-06</t>
  </si>
  <si>
    <t xml:space="preserve">F-09, F-13</t>
  </si>
  <si>
    <t xml:space="preserve">Because a partner's VPN has had unreviewed access to a flat network since 2019 and vendors are not checked for security, a compromise at the partner could be used to reach the warehouse systems, leading to downtime and exposure of operational data.</t>
  </si>
  <si>
    <t xml:space="preserve">Site-to-site VPN with the partner; no review since 2019</t>
  </si>
  <si>
    <t xml:space="preserve">Review and limit the VPN to the systems the partner needs; add a security clause and annual access review to the partner contract; segment the network.</t>
  </si>
  <si>
    <t xml:space="preserve">Likelihood 2: it needs the partner to be compromised first, which is less probable than a direct attack. Impact 4: access to the warehouse network could stop operations.</t>
  </si>
  <si>
    <t xml:space="preserve">R-07</t>
  </si>
  <si>
    <t xml:space="preserve">An attack goes unnoticed because nobody watches logs or alerts</t>
  </si>
  <si>
    <t xml:space="preserve">A-14, A-06</t>
  </si>
  <si>
    <t xml:space="preserve">Because firewall logs are kept for only 7 days, there is no central logging and Defender alerts go to a mailbox nobody reads daily, an intruder could stay undetected for weeks, leading to larger data theft and no evidence for investigation or insurance claims.</t>
  </si>
  <si>
    <t xml:space="preserve">Microsoft Defender on laptops; alerts sent to a shared mailbox</t>
  </si>
  <si>
    <t xml:space="preserve">Route Defender and Microsoft 365 sign-in alerts to named people with a daily review; extend log retention to at least 90 days; evaluate a low-cost central logging or managed monitoring service.</t>
  </si>
  <si>
    <t xml:space="preserve">Likelihood 4: no one is positioned to notice an attack today (F-17). Impact 3: this risk makes other incidents longer and worse rather than causing harm by itself.</t>
  </si>
  <si>
    <t xml:space="preserve">R-08</t>
  </si>
  <si>
    <t xml:space="preserve">Weak incident response slows containment</t>
  </si>
  <si>
    <t xml:space="preserve">A-01, A-03, A-04</t>
  </si>
  <si>
    <t xml:space="preserve">Because the incident response plan is a 2021 two-page document with no defined roles, no exercise and a former employee as contact, a real incident could be handled slowly or wrongly, leading to longer downtime and missed customer or insurer notification deadlines.</t>
  </si>
  <si>
    <t xml:space="preserve">A 2-page plan from 2021</t>
  </si>
  <si>
    <t xml:space="preserve">Update the plan with named roles and current contacts; run a short tabletop exercise each year; add customer and insurer notification steps.</t>
  </si>
  <si>
    <t xml:space="preserve">Likelihood 3: an incident is possible, and the weak plan raises the chance it goes badly. Impact 3: longer outages and notification problems, but a bad plan does not cause the incident itself.</t>
  </si>
  <si>
    <t xml:space="preserve">R-09</t>
  </si>
  <si>
    <t xml:space="preserve">Lost or stolen unencrypted laptop</t>
  </si>
  <si>
    <t xml:space="preserve">A-07, A-11</t>
  </si>
  <si>
    <t xml:space="preserve">F-10</t>
  </si>
  <si>
    <t xml:space="preserve">Because 25 of 85 laptops, including 8 used by travelling sales staff, are not encrypted, a lost or stolen laptop could expose any customer or employee files stored on it, leading to a notification obligation and loss of customer trust.</t>
  </si>
  <si>
    <t xml:space="preserve">Some laptops (60 of 85) have disk encryption</t>
  </si>
  <si>
    <t xml:space="preserve">Turn on BitLocker on all laptops, starting with the 8 travelling sales laptops, and report compliance monthly.</t>
  </si>
  <si>
    <t xml:space="preserve">Likelihood 3: travelling staff lose laptops at a realistic rate. Impact 3: some personal or contract data could be exposed. Once encrypted, the impact of a lost laptop drops to 1 because the data cannot be read.</t>
  </si>
  <si>
    <t xml:space="preserve">R-10</t>
  </si>
  <si>
    <t xml:space="preserve">Sensitive data open to too many staff</t>
  </si>
  <si>
    <t xml:space="preserve">A-04, A-11, A-12</t>
  </si>
  <si>
    <t xml:space="preserve">F-14</t>
  </si>
  <si>
    <t xml:space="preserve">Because folders with driver licenses, payroll exports and contracts are readable by all domain users and nothing is classified, a curious employee or a compromised account could read or copy sensitive data, leading to a privacy incident and breach of customer contracts.</t>
  </si>
  <si>
    <t xml:space="preserve">Standard file server permissions (broad group access)</t>
  </si>
  <si>
    <t xml:space="preserve">Move sensitive folders to restricted groups; classify data into 3 levels; review access every quarter.</t>
  </si>
  <si>
    <t xml:space="preserve">Likelihood 3: any compromised account today can see everything. Impact 3: some personal data and contract terms would be exposed.</t>
  </si>
  <si>
    <t xml:space="preserve">R-11</t>
  </si>
  <si>
    <t xml:space="preserve">Unpatched laptops exploited</t>
  </si>
  <si>
    <t xml:space="preserve">F-12, F-17</t>
  </si>
  <si>
    <t xml:space="preserve">Because patching is manual with no reporting and 5 of 20 sampled laptops missed the last two updates, malware could exploit a known weakness on a laptop, leading to an infected device and a possible spread into the network.</t>
  </si>
  <si>
    <t xml:space="preserve">Manual monthly patching; Defender</t>
  </si>
  <si>
    <t xml:space="preserve">Use Windows Update for Business or Intune to patch automatically and report compliance; check missing patches monthly.</t>
  </si>
  <si>
    <t xml:space="preserve">Likelihood 3: a quarter of the sampled laptops were behind, so known flaws exist. Impact 3: a single infected laptop can lead to wider problems, but Defender provides some protection.</t>
  </si>
  <si>
    <t xml:space="preserve">R-12</t>
  </si>
  <si>
    <t xml:space="preserve">Vendor weakness exposes the company</t>
  </si>
  <si>
    <t xml:space="preserve">A-02, A-10</t>
  </si>
  <si>
    <t xml:space="preserve">F-13</t>
  </si>
  <si>
    <t xml:space="preserve">Because none of 12 vendors was assessed for security and contracts were not checked for breach notification terms, a breach at the transport system or payroll vendor could expose company data without the company hearing about it, leading to a delayed response and potential contract penalties.</t>
  </si>
  <si>
    <t xml:space="preserve">Vendor contracts and the TMS uptime guarantee</t>
  </si>
  <si>
    <t xml:space="preserve">Send a short security questionnaire to the 5 most important vendors; add breach-notification terms at renewal; keep a vendor list with an owner.</t>
  </si>
  <si>
    <t xml:space="preserve">Likelihood 2: major vendors usually have their own controls. Impact 3: exposure of company or employee data, but only part of the business is affected.</t>
  </si>
  <si>
    <t xml:space="preserve">R-13</t>
  </si>
  <si>
    <t xml:space="preserve">Unauthorized physical access to the server room</t>
  </si>
  <si>
    <t xml:space="preserve">A-13, A-03, A-05</t>
  </si>
  <si>
    <t xml:space="preserve">F-18</t>
  </si>
  <si>
    <t xml:space="preserve">Because 6 people share a key to the server room and there is no visitor log, someone could walk in and remove or tamper with servers or backups, leading to data loss or tampering that is hard to trace.</t>
  </si>
  <si>
    <t xml:space="preserve">Key lock on the server room; CCTV on warehouse docks</t>
  </si>
  <si>
    <t xml:space="preserve">Limit keys to 2 named people; log key holders; add a visitor sign-in at the office.</t>
  </si>
  <si>
    <t xml:space="preserve">Likelihood 2: it requires someone to be on site and to know what to take. Impact 3: tampering with the servers or NAS would be serious but is unlikely.</t>
  </si>
  <si>
    <t xml:space="preserve">R-14</t>
  </si>
  <si>
    <t xml:space="preserve">No leadership oversight leads to missed insurance requirements</t>
  </si>
  <si>
    <t xml:space="preserve">A-01, A-05</t>
  </si>
  <si>
    <t xml:space="preserve">Because no one owns cyber risk, executives receive no reports and cyber spending is not tracked, the company could miss the January 2027 insurer requirements for MFA and tested backups, leading to higher premiums, reduced coverage or a denied claim.</t>
  </si>
  <si>
    <t xml:space="preserve">Cyber insurance policy; IT Manager handles security informally</t>
  </si>
  <si>
    <t xml:space="preserve">Name an executive risk owner; report quarterly on this risk register; set a budget line; track MFA and backup tests as renewal requirements.</t>
  </si>
  <si>
    <t xml:space="preserve">Executive team (named risk owner)</t>
  </si>
  <si>
    <t xml:space="preserve">Likelihood 4: MFA and tested backups are not in place and the renewal is in January 2027. Impact 3: higher cost or reduced coverage, estimated at $50,000 to $250,000 under the assumed scale.</t>
  </si>
  <si>
    <t xml:space="preserve">R-15</t>
  </si>
  <si>
    <t xml:space="preserve">R-16</t>
  </si>
  <si>
    <t xml:space="preserve">R-17</t>
  </si>
  <si>
    <t xml:space="preserve">R-18</t>
  </si>
  <si>
    <t xml:space="preserve">R-19</t>
  </si>
  <si>
    <t xml:space="preserve">R-20</t>
  </si>
  <si>
    <t xml:space="preserve">R-21</t>
  </si>
  <si>
    <t xml:space="preserve">R-22</t>
  </si>
  <si>
    <t xml:space="preserve">R-23</t>
  </si>
  <si>
    <t xml:space="preserve">R-24</t>
  </si>
  <si>
    <t xml:space="preserve">R-25</t>
  </si>
  <si>
    <t xml:space="preserve">R-26</t>
  </si>
  <si>
    <t xml:space="preserve">R-27</t>
  </si>
  <si>
    <t xml:space="preserve">R-28</t>
  </si>
  <si>
    <t xml:space="preserve">R-29</t>
  </si>
  <si>
    <t xml:space="preserve">R-30</t>
  </si>
  <si>
    <t xml:space="preserve">Summary (calculated from the other sheets; nothing to type here)</t>
  </si>
  <si>
    <t xml:space="preserve">Inherent risks</t>
  </si>
  <si>
    <t xml:space="preserve">Residual risks</t>
  </si>
  <si>
    <t xml:space="preserve">Total risks</t>
  </si>
  <si>
    <t xml:space="preserve">Risks recorded</t>
  </si>
  <si>
    <t xml:space="preserve">Average maturity gap</t>
  </si>
  <si>
    <t xml:space="preserve">Average current maturity</t>
  </si>
  <si>
    <t xml:space="preserve">Assets rated</t>
  </si>
  <si>
    <t xml:space="preserve">CSF categories scored</t>
  </si>
  <si>
    <t xml:space="preserve">Highest inherent score</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</si>
</sst>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sz val="10"/>
      <color rgb="FF000000"/>
      <name val="Arial"/>
      <family val="0"/>
      <charset val="1"/>
    </font>
    <font>
      <b val="true"/>
      <sz val="10"/>
      <color rgb="FF000000"/>
      <name val="Arial"/>
      <family val="0"/>
      <charset val="1"/>
    </font>
    <font>
      <b val="true"/>
      <sz val="11"/>
      <color rgb="FF000000"/>
      <name val="Arial"/>
      <family val="0"/>
      <charset val="1"/>
    </font>
    <font>
      <b val="true"/>
      <sz val="10"/>
      <color rgb="FFFFFFFF"/>
      <name val="Arial"/>
      <family val="0"/>
      <charset val="1"/>
    </font>
    <font>
      <sz val="10"/>
      <color rgb="FF0000FF"/>
      <name val="Arial"/>
      <family val="0"/>
      <charset val="1"/>
    </font>
    <font>
      <i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C00000"/>
        </patternFill>
      </fill>
    </dxf>
    <dxf>
      <font>
        <name val="Arial"/>
        <charset val="1"/>
        <family val="0"/>
        <b val="1"/>
        <color rgb="FFFFFFFF"/>
      </font>
      <fill>
        <patternFill>
          <bgColor rgb="FFED7D31"/>
        </patternFill>
      </fill>
    </dxf>
    <dxf>
      <font>
        <name val="Arial"/>
        <charset val="1"/>
        <family val="0"/>
        <b val="1"/>
        <color rgb="FF000000"/>
      </font>
      <fill>
        <patternFill>
          <bgColor rgb="FFFFD966"/>
        </patternFill>
      </fill>
    </dxf>
    <dxf>
      <font>
        <name val="Arial"/>
        <charset val="1"/>
        <family val="0"/>
        <b val="1"/>
        <color rgb="FF000000"/>
      </font>
      <fill>
        <patternFill>
          <bgColor rgb="FFA9D08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A9D08E"/>
      <rgbColor rgb="FFFF99CC"/>
      <rgbColor rgb="FFCC99FF"/>
      <rgbColor rgb="FFFFD966"/>
      <rgbColor rgb="FF3366FF"/>
      <rgbColor rgb="FF33CCCC"/>
      <rgbColor rgb="FF99CC00"/>
      <rgbColor rgb="FFFFCC00"/>
      <rgbColor rgb="FFFF9900"/>
      <rgbColor rgb="FFED7D31"/>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Risks by rating: inherent vs residual</a:t>
            </a:r>
          </a:p>
        </c:rich>
      </c:tx>
      <c:overlay val="0"/>
      <c:spPr>
        <a:noFill/>
        <a:ln w="0">
          <a:noFill/>
        </a:ln>
      </c:spPr>
    </c:title>
    <c:autoTitleDeleted val="0"/>
    <c:plotArea>
      <c:barChart>
        <c:barDir val="col"/>
        <c:grouping val="clustered"/>
        <c:varyColors val="0"/>
        <c:ser>
          <c:idx val="0"/>
          <c:order val="0"/>
          <c:tx>
            <c:strRef>
              <c:f>Summary!B3</c:f>
              <c:strCache>
                <c:ptCount val="1"/>
                <c:pt idx="0">
                  <c:v>Inherent risks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Critical</c:v>
                </c:pt>
                <c:pt idx="1">
                  <c:v>High</c:v>
                </c:pt>
                <c:pt idx="2">
                  <c:v>Medium</c:v>
                </c:pt>
                <c:pt idx="3">
                  <c:v>Low</c:v>
                </c:pt>
              </c:strCache>
            </c:strRef>
          </c:cat>
          <c:val>
            <c:numRef>
              <c:f>Summary!$B$4:$B$7</c:f>
              <c:numCache>
                <c:formatCode>General</c:formatCode>
                <c:ptCount val="4"/>
                <c:pt idx="0">
                  <c:v>1</c:v>
                </c:pt>
                <c:pt idx="1">
                  <c:v>6</c:v>
                </c:pt>
                <c:pt idx="2">
                  <c:v>7</c:v>
                </c:pt>
                <c:pt idx="3">
                  <c:v>0</c:v>
                </c:pt>
              </c:numCache>
            </c:numRef>
          </c:val>
        </c:ser>
        <c:ser>
          <c:idx val="1"/>
          <c:order val="1"/>
          <c:tx>
            <c:strRef>
              <c:f>Summary!C3</c:f>
              <c:strCache>
                <c:ptCount val="1"/>
                <c:pt idx="0">
                  <c:v>Residual risks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Critical</c:v>
                </c:pt>
                <c:pt idx="1">
                  <c:v>High</c:v>
                </c:pt>
                <c:pt idx="2">
                  <c:v>Medium</c:v>
                </c:pt>
                <c:pt idx="3">
                  <c:v>Low</c:v>
                </c:pt>
              </c:strCache>
            </c:strRef>
          </c:cat>
          <c:val>
            <c:numRef>
              <c:f>Summary!$C$4:$C$7</c:f>
              <c:numCache>
                <c:formatCode>General</c:formatCode>
                <c:ptCount val="4"/>
                <c:pt idx="0">
                  <c:v>0</c:v>
                </c:pt>
                <c:pt idx="1">
                  <c:v>0</c:v>
                </c:pt>
                <c:pt idx="2">
                  <c:v>6</c:v>
                </c:pt>
                <c:pt idx="3">
                  <c:v>8</c:v>
                </c:pt>
              </c:numCache>
            </c:numRef>
          </c:val>
        </c:ser>
        <c:gapWidth val="150"/>
        <c:overlap val="0"/>
        <c:axId val="83794878"/>
        <c:axId val="61002062"/>
      </c:barChart>
      <c:catAx>
        <c:axId val="8379487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002062"/>
        <c:crosses val="autoZero"/>
        <c:auto val="1"/>
        <c:lblAlgn val="ctr"/>
        <c:lblOffset val="100"/>
        <c:noMultiLvlLbl val="0"/>
      </c:catAx>
      <c:valAx>
        <c:axId val="610020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risks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7948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maturity gap by CSF Function</a:t>
            </a:r>
          </a:p>
        </c:rich>
      </c:tx>
      <c:overlay val="0"/>
      <c:spPr>
        <a:noFill/>
        <a:ln w="0">
          <a:noFill/>
        </a:ln>
      </c:spPr>
    </c:title>
    <c:autoTitleDeleted val="0"/>
    <c:plotArea>
      <c:barChart>
        <c:barDir val="bar"/>
        <c:grouping val="clustered"/>
        <c:varyColors val="0"/>
        <c:ser>
          <c:idx val="0"/>
          <c:order val="0"/>
          <c:tx>
            <c:strRef>
              <c:f>Summary!C11</c:f>
              <c:strCache>
                <c:ptCount val="1"/>
                <c:pt idx="0">
                  <c:v>Average maturity gap</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Summary!$A$12:$A$17</c:f>
              <c:strCache>
                <c:ptCount val="6"/>
                <c:pt idx="0">
                  <c:v>GOVERN</c:v>
                </c:pt>
                <c:pt idx="1">
                  <c:v>IDENTIFY</c:v>
                </c:pt>
                <c:pt idx="2">
                  <c:v>PROTECT</c:v>
                </c:pt>
                <c:pt idx="3">
                  <c:v>DETECT</c:v>
                </c:pt>
                <c:pt idx="4">
                  <c:v>RESPOND</c:v>
                </c:pt>
                <c:pt idx="5">
                  <c:v>RECOVER</c:v>
                </c:pt>
              </c:strCache>
            </c:strRef>
          </c:cat>
          <c:val>
            <c:numRef>
              <c:f>Summary!$C$12:$C$17</c:f>
              <c:numCache>
                <c:formatCode>0.0</c:formatCode>
                <c:ptCount val="6"/>
                <c:pt idx="0">
                  <c:v>1.66666666666667</c:v>
                </c:pt>
                <c:pt idx="1">
                  <c:v>1.66666666666667</c:v>
                </c:pt>
                <c:pt idx="2">
                  <c:v>1.8</c:v>
                </c:pt>
                <c:pt idx="3">
                  <c:v>2</c:v>
                </c:pt>
                <c:pt idx="4">
                  <c:v>1.25</c:v>
                </c:pt>
                <c:pt idx="5">
                  <c:v>2</c:v>
                </c:pt>
              </c:numCache>
            </c:numRef>
          </c:val>
        </c:ser>
        <c:gapWidth val="150"/>
        <c:overlap val="0"/>
        <c:axId val="22336919"/>
        <c:axId val="18280652"/>
      </c:barChart>
      <c:catAx>
        <c:axId val="223369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280652"/>
        <c:crosses val="autoZero"/>
        <c:auto val="1"/>
        <c:lblAlgn val="ctr"/>
        <c:lblOffset val="100"/>
        <c:noMultiLvlLbl val="0"/>
      </c:catAx>
      <c:valAx>
        <c:axId val="1828065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3691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14</xdr:col>
      <xdr:colOff>255960</xdr:colOff>
      <xdr:row>17</xdr:row>
      <xdr:rowOff>21960</xdr:rowOff>
    </xdr:to>
    <xdr:graphicFrame>
      <xdr:nvGraphicFramePr>
        <xdr:cNvPr id="0" name="Chart 1"/>
        <xdr:cNvGraphicFramePr/>
      </xdr:nvGraphicFramePr>
      <xdr:xfrm>
        <a:off x="6955200" y="38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19</xdr:row>
      <xdr:rowOff>0</xdr:rowOff>
    </xdr:from>
    <xdr:to>
      <xdr:col>14</xdr:col>
      <xdr:colOff>255960</xdr:colOff>
      <xdr:row>34</xdr:row>
      <xdr:rowOff>21960</xdr:rowOff>
    </xdr:to>
    <xdr:graphicFrame>
      <xdr:nvGraphicFramePr>
        <xdr:cNvPr id="1" name="Chart 2"/>
        <xdr:cNvGraphicFramePr/>
      </xdr:nvGraphicFramePr>
      <xdr:xfrm>
        <a:off x="6955200" y="361944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8" hidden="false" customHeight="true" outlineLevel="0" collapsed="false">
      <c r="A15" s="3" t="s">
        <v>11</v>
      </c>
      <c r="B15" s="4" t="s">
        <v>12</v>
      </c>
    </row>
    <row r="16" customFormat="false" ht="18" hidden="false" customHeight="true" outlineLevel="0" collapsed="false">
      <c r="A16" s="3" t="s">
        <v>13</v>
      </c>
      <c r="B16" s="4" t="s">
        <v>14</v>
      </c>
    </row>
    <row r="17" customFormat="false" ht="45" hidden="false" customHeight="true" outlineLevel="0" collapsed="false">
      <c r="A17" s="3" t="s">
        <v>15</v>
      </c>
      <c r="B17" s="4" t="s">
        <v>16</v>
      </c>
    </row>
    <row r="18" customFormat="false" ht="18" hidden="false" customHeight="true" outlineLevel="0" collapsed="false">
      <c r="A18" s="3" t="s">
        <v>17</v>
      </c>
      <c r="B18" s="4" t="s">
        <v>18</v>
      </c>
    </row>
    <row r="19" customFormat="false" ht="18" hidden="false" customHeight="true" outlineLevel="0" collapsed="false">
      <c r="A19" s="3" t="s">
        <v>19</v>
      </c>
      <c r="B19" s="4" t="s">
        <v>20</v>
      </c>
    </row>
    <row r="20" customFormat="false" ht="45" hidden="false" customHeight="true" outlineLevel="0" collapsed="false">
      <c r="A20" s="3" t="s">
        <v>21</v>
      </c>
      <c r="B20" s="4" t="s">
        <v>22</v>
      </c>
    </row>
    <row r="21" customFormat="false" ht="18" hidden="false" customHeight="true" outlineLevel="0" collapsed="false">
      <c r="A21" s="3" t="s">
        <v>23</v>
      </c>
      <c r="B21"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95"/>
  </cols>
  <sheetData>
    <row r="1" customFormat="false" ht="15" hidden="false" customHeight="false" outlineLevel="0" collapsed="false">
      <c r="A1" s="5" t="s">
        <v>25</v>
      </c>
    </row>
    <row r="2" customFormat="false" ht="15" hidden="false" customHeight="false" outlineLevel="0" collapsed="false">
      <c r="A2" s="6" t="s">
        <v>26</v>
      </c>
      <c r="B2" s="6" t="s">
        <v>27</v>
      </c>
      <c r="C2" s="6" t="s">
        <v>28</v>
      </c>
    </row>
    <row r="3" customFormat="false" ht="15" hidden="false" customHeight="false" outlineLevel="0" collapsed="false">
      <c r="A3" s="7" t="n">
        <v>1</v>
      </c>
      <c r="B3" s="7" t="s">
        <v>29</v>
      </c>
      <c r="C3" s="7" t="s">
        <v>30</v>
      </c>
    </row>
    <row r="4" customFormat="false" ht="15" hidden="false" customHeight="false" outlineLevel="0" collapsed="false">
      <c r="A4" s="7" t="n">
        <v>2</v>
      </c>
      <c r="B4" s="7" t="s">
        <v>31</v>
      </c>
      <c r="C4" s="7" t="s">
        <v>32</v>
      </c>
    </row>
    <row r="5" customFormat="false" ht="15" hidden="false" customHeight="false" outlineLevel="0" collapsed="false">
      <c r="A5" s="7" t="n">
        <v>3</v>
      </c>
      <c r="B5" s="7" t="s">
        <v>33</v>
      </c>
      <c r="C5" s="7" t="s">
        <v>34</v>
      </c>
    </row>
    <row r="6" customFormat="false" ht="15" hidden="false" customHeight="false" outlineLevel="0" collapsed="false">
      <c r="A6" s="7" t="n">
        <v>4</v>
      </c>
      <c r="B6" s="7" t="s">
        <v>35</v>
      </c>
      <c r="C6" s="7" t="s">
        <v>36</v>
      </c>
    </row>
    <row r="7" customFormat="false" ht="15" hidden="false" customHeight="false" outlineLevel="0" collapsed="false">
      <c r="A7" s="7" t="n">
        <v>5</v>
      </c>
      <c r="B7" s="7" t="s">
        <v>37</v>
      </c>
      <c r="C7" s="7" t="s">
        <v>38</v>
      </c>
    </row>
    <row r="9" customFormat="false" ht="15" hidden="false" customHeight="false" outlineLevel="0" collapsed="false">
      <c r="A9" s="5" t="s">
        <v>39</v>
      </c>
    </row>
    <row r="10" customFormat="false" ht="15" hidden="false" customHeight="false" outlineLevel="0" collapsed="false">
      <c r="A10" s="6" t="s">
        <v>26</v>
      </c>
      <c r="B10" s="6" t="s">
        <v>27</v>
      </c>
      <c r="C10" s="6" t="s">
        <v>28</v>
      </c>
    </row>
    <row r="11" customFormat="false" ht="15" hidden="false" customHeight="false" outlineLevel="0" collapsed="false">
      <c r="A11" s="8" t="n">
        <v>1</v>
      </c>
      <c r="B11" s="8" t="s">
        <v>40</v>
      </c>
      <c r="C11" s="8" t="s">
        <v>41</v>
      </c>
    </row>
    <row r="12" customFormat="false" ht="15" hidden="false" customHeight="false" outlineLevel="0" collapsed="false">
      <c r="A12" s="8" t="n">
        <v>2</v>
      </c>
      <c r="B12" s="8" t="s">
        <v>42</v>
      </c>
      <c r="C12" s="8" t="s">
        <v>43</v>
      </c>
    </row>
    <row r="13" customFormat="false" ht="15" hidden="false" customHeight="false" outlineLevel="0" collapsed="false">
      <c r="A13" s="8" t="n">
        <v>3</v>
      </c>
      <c r="B13" s="8" t="s">
        <v>44</v>
      </c>
      <c r="C13" s="8" t="s">
        <v>45</v>
      </c>
    </row>
    <row r="14" customFormat="false" ht="15" hidden="false" customHeight="false" outlineLevel="0" collapsed="false">
      <c r="A14" s="8" t="n">
        <v>4</v>
      </c>
      <c r="B14" s="8" t="s">
        <v>46</v>
      </c>
      <c r="C14" s="8" t="s">
        <v>47</v>
      </c>
    </row>
    <row r="15" customFormat="false" ht="15" hidden="false" customHeight="false" outlineLevel="0" collapsed="false">
      <c r="A15" s="8" t="n">
        <v>5</v>
      </c>
      <c r="B15" s="8" t="s">
        <v>48</v>
      </c>
      <c r="C15" s="8" t="s">
        <v>49</v>
      </c>
    </row>
    <row r="17" customFormat="false" ht="15" hidden="false" customHeight="false" outlineLevel="0" collapsed="false">
      <c r="A17" s="5" t="s">
        <v>50</v>
      </c>
    </row>
    <row r="18" customFormat="false" ht="15" hidden="false" customHeight="false" outlineLevel="0" collapsed="false">
      <c r="A18" s="6" t="s">
        <v>51</v>
      </c>
      <c r="B18" s="6" t="s">
        <v>52</v>
      </c>
      <c r="C18" s="6" t="s">
        <v>28</v>
      </c>
    </row>
    <row r="19" customFormat="false" ht="15" hidden="false" customHeight="false" outlineLevel="0" collapsed="false">
      <c r="A19" s="9" t="s">
        <v>53</v>
      </c>
      <c r="B19" s="10" t="n">
        <v>1</v>
      </c>
      <c r="C19" s="9" t="s">
        <v>54</v>
      </c>
    </row>
    <row r="20" customFormat="false" ht="15" hidden="false" customHeight="false" outlineLevel="0" collapsed="false">
      <c r="A20" s="9" t="s">
        <v>55</v>
      </c>
      <c r="B20" s="10" t="n">
        <v>6</v>
      </c>
      <c r="C20" s="9" t="s">
        <v>56</v>
      </c>
    </row>
    <row r="21" customFormat="false" ht="15" hidden="false" customHeight="false" outlineLevel="0" collapsed="false">
      <c r="A21" s="9" t="s">
        <v>57</v>
      </c>
      <c r="B21" s="10" t="n">
        <v>12</v>
      </c>
      <c r="C21" s="9" t="s">
        <v>58</v>
      </c>
    </row>
    <row r="22" customFormat="false" ht="15" hidden="false" customHeight="false" outlineLevel="0" collapsed="false">
      <c r="A22" s="9" t="s">
        <v>59</v>
      </c>
      <c r="B22" s="10" t="n">
        <v>20</v>
      </c>
      <c r="C22" s="9" t="s">
        <v>60</v>
      </c>
    </row>
    <row r="24" customFormat="false" ht="15" hidden="false" customHeight="false" outlineLevel="0" collapsed="false">
      <c r="A24" s="11" t="s">
        <v>61</v>
      </c>
    </row>
    <row r="26" customFormat="false" ht="15" hidden="false" customHeight="false" outlineLevel="0" collapsed="false">
      <c r="A26" s="5" t="s">
        <v>62</v>
      </c>
    </row>
    <row r="27" customFormat="false" ht="15" hidden="false" customHeight="false" outlineLevel="0" collapsed="false">
      <c r="A27" s="6" t="s">
        <v>26</v>
      </c>
      <c r="B27" s="6" t="s">
        <v>27</v>
      </c>
      <c r="C27" s="6" t="s">
        <v>28</v>
      </c>
    </row>
    <row r="28" customFormat="false" ht="15" hidden="false" customHeight="false" outlineLevel="0" collapsed="false">
      <c r="A28" s="7" t="n">
        <v>0</v>
      </c>
      <c r="B28" s="7" t="s">
        <v>63</v>
      </c>
      <c r="C28" s="7" t="s">
        <v>64</v>
      </c>
    </row>
    <row r="29" customFormat="false" ht="15" hidden="false" customHeight="false" outlineLevel="0" collapsed="false">
      <c r="A29" s="7" t="n">
        <v>1</v>
      </c>
      <c r="B29" s="7" t="s">
        <v>65</v>
      </c>
      <c r="C29" s="7" t="s">
        <v>66</v>
      </c>
    </row>
    <row r="30" customFormat="false" ht="15" hidden="false" customHeight="false" outlineLevel="0" collapsed="false">
      <c r="A30" s="7" t="n">
        <v>2</v>
      </c>
      <c r="B30" s="7" t="s">
        <v>67</v>
      </c>
      <c r="C30" s="7" t="s">
        <v>68</v>
      </c>
    </row>
    <row r="31" customFormat="false" ht="15" hidden="false" customHeight="false" outlineLevel="0" collapsed="false">
      <c r="A31" s="7" t="n">
        <v>3</v>
      </c>
      <c r="B31" s="7" t="s">
        <v>69</v>
      </c>
      <c r="C31" s="7" t="s">
        <v>70</v>
      </c>
    </row>
    <row r="32" customFormat="false" ht="15" hidden="false" customHeight="false" outlineLevel="0" collapsed="false">
      <c r="A32" s="7" t="n">
        <v>4</v>
      </c>
      <c r="B32" s="7" t="s">
        <v>71</v>
      </c>
      <c r="C32" s="7"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0"/>
    <col collapsed="false" customWidth="true" hidden="false" outlineLevel="0" max="4" min="4" style="0" width="22"/>
    <col collapsed="false" customWidth="true" hidden="false" outlineLevel="0" max="5" min="5" style="0" width="48"/>
    <col collapsed="false" customWidth="true" hidden="false" outlineLevel="0" max="6" min="6" style="0" width="14"/>
    <col collapsed="false" customWidth="true" hidden="false" outlineLevel="0" max="7" min="7" style="0" width="50"/>
  </cols>
  <sheetData>
    <row r="1" customFormat="false" ht="15" hidden="false" customHeight="false" outlineLevel="0" collapsed="false">
      <c r="A1" s="6" t="s">
        <v>73</v>
      </c>
      <c r="B1" s="6" t="s">
        <v>74</v>
      </c>
      <c r="C1" s="6" t="s">
        <v>75</v>
      </c>
      <c r="D1" s="6" t="s">
        <v>76</v>
      </c>
      <c r="E1" s="6" t="s">
        <v>77</v>
      </c>
      <c r="F1" s="6" t="s">
        <v>78</v>
      </c>
      <c r="G1" s="6" t="s">
        <v>79</v>
      </c>
    </row>
    <row r="2" customFormat="false" ht="23.85" hidden="false" customHeight="false" outlineLevel="0" collapsed="false">
      <c r="A2" s="8" t="s">
        <v>80</v>
      </c>
      <c r="B2" s="8" t="s">
        <v>81</v>
      </c>
      <c r="C2" s="8" t="s">
        <v>82</v>
      </c>
      <c r="D2" s="8" t="s">
        <v>83</v>
      </c>
      <c r="E2" s="8" t="s">
        <v>84</v>
      </c>
      <c r="F2" s="12" t="n">
        <v>5</v>
      </c>
      <c r="G2" s="12" t="s">
        <v>85</v>
      </c>
    </row>
    <row r="3" customFormat="false" ht="23.85" hidden="false" customHeight="false" outlineLevel="0" collapsed="false">
      <c r="A3" s="8" t="s">
        <v>86</v>
      </c>
      <c r="B3" s="8" t="s">
        <v>87</v>
      </c>
      <c r="C3" s="8" t="s">
        <v>82</v>
      </c>
      <c r="D3" s="8" t="s">
        <v>88</v>
      </c>
      <c r="E3" s="8" t="s">
        <v>89</v>
      </c>
      <c r="F3" s="12" t="n">
        <v>4</v>
      </c>
      <c r="G3" s="12" t="s">
        <v>90</v>
      </c>
    </row>
    <row r="4" customFormat="false" ht="23.85" hidden="false" customHeight="false" outlineLevel="0" collapsed="false">
      <c r="A4" s="8" t="s">
        <v>91</v>
      </c>
      <c r="B4" s="8" t="s">
        <v>92</v>
      </c>
      <c r="C4" s="8" t="s">
        <v>93</v>
      </c>
      <c r="D4" s="8" t="s">
        <v>83</v>
      </c>
      <c r="E4" s="8" t="s">
        <v>94</v>
      </c>
      <c r="F4" s="12" t="n">
        <v>5</v>
      </c>
      <c r="G4" s="12" t="s">
        <v>95</v>
      </c>
    </row>
    <row r="5" customFormat="false" ht="23.85" hidden="false" customHeight="false" outlineLevel="0" collapsed="false">
      <c r="A5" s="8" t="s">
        <v>96</v>
      </c>
      <c r="B5" s="8" t="s">
        <v>97</v>
      </c>
      <c r="C5" s="8" t="s">
        <v>93</v>
      </c>
      <c r="D5" s="8" t="s">
        <v>83</v>
      </c>
      <c r="E5" s="8" t="s">
        <v>98</v>
      </c>
      <c r="F5" s="12" t="n">
        <v>4</v>
      </c>
      <c r="G5" s="12" t="s">
        <v>99</v>
      </c>
    </row>
    <row r="6" customFormat="false" ht="23.85" hidden="false" customHeight="false" outlineLevel="0" collapsed="false">
      <c r="A6" s="8" t="s">
        <v>100</v>
      </c>
      <c r="B6" s="8" t="s">
        <v>101</v>
      </c>
      <c r="C6" s="8" t="s">
        <v>102</v>
      </c>
      <c r="D6" s="8" t="s">
        <v>103</v>
      </c>
      <c r="E6" s="8" t="s">
        <v>104</v>
      </c>
      <c r="F6" s="12" t="n">
        <v>4</v>
      </c>
      <c r="G6" s="12" t="s">
        <v>105</v>
      </c>
    </row>
    <row r="7" customFormat="false" ht="23.85" hidden="false" customHeight="false" outlineLevel="0" collapsed="false">
      <c r="A7" s="8" t="s">
        <v>106</v>
      </c>
      <c r="B7" s="8" t="s">
        <v>107</v>
      </c>
      <c r="C7" s="8" t="s">
        <v>108</v>
      </c>
      <c r="D7" s="8" t="s">
        <v>103</v>
      </c>
      <c r="E7" s="8" t="s">
        <v>109</v>
      </c>
      <c r="F7" s="12" t="n">
        <v>5</v>
      </c>
      <c r="G7" s="12" t="s">
        <v>110</v>
      </c>
    </row>
    <row r="8" customFormat="false" ht="23.85" hidden="false" customHeight="false" outlineLevel="0" collapsed="false">
      <c r="A8" s="8" t="s">
        <v>111</v>
      </c>
      <c r="B8" s="8" t="s">
        <v>112</v>
      </c>
      <c r="C8" s="8" t="s">
        <v>113</v>
      </c>
      <c r="D8" s="8" t="s">
        <v>103</v>
      </c>
      <c r="E8" s="8" t="s">
        <v>114</v>
      </c>
      <c r="F8" s="12" t="n">
        <v>3</v>
      </c>
      <c r="G8" s="12" t="s">
        <v>115</v>
      </c>
    </row>
    <row r="9" customFormat="false" ht="23.85" hidden="false" customHeight="false" outlineLevel="0" collapsed="false">
      <c r="A9" s="8" t="s">
        <v>116</v>
      </c>
      <c r="B9" s="8" t="s">
        <v>117</v>
      </c>
      <c r="C9" s="8" t="s">
        <v>113</v>
      </c>
      <c r="D9" s="8" t="s">
        <v>118</v>
      </c>
      <c r="E9" s="8" t="s">
        <v>119</v>
      </c>
      <c r="F9" s="12" t="n">
        <v>3</v>
      </c>
      <c r="G9" s="12" t="s">
        <v>120</v>
      </c>
    </row>
    <row r="10" customFormat="false" ht="23.85" hidden="false" customHeight="false" outlineLevel="0" collapsed="false">
      <c r="A10" s="8" t="s">
        <v>121</v>
      </c>
      <c r="B10" s="8" t="s">
        <v>122</v>
      </c>
      <c r="C10" s="8" t="s">
        <v>123</v>
      </c>
      <c r="D10" s="8" t="s">
        <v>83</v>
      </c>
      <c r="E10" s="8" t="s">
        <v>124</v>
      </c>
      <c r="F10" s="12" t="n">
        <v>3</v>
      </c>
      <c r="G10" s="12" t="s">
        <v>125</v>
      </c>
    </row>
    <row r="11" customFormat="false" ht="23.85" hidden="false" customHeight="false" outlineLevel="0" collapsed="false">
      <c r="A11" s="8" t="s">
        <v>126</v>
      </c>
      <c r="B11" s="8" t="s">
        <v>127</v>
      </c>
      <c r="C11" s="8" t="s">
        <v>128</v>
      </c>
      <c r="D11" s="8" t="s">
        <v>129</v>
      </c>
      <c r="E11" s="8" t="s">
        <v>130</v>
      </c>
      <c r="F11" s="12" t="n">
        <v>3</v>
      </c>
      <c r="G11" s="12" t="s">
        <v>131</v>
      </c>
    </row>
    <row r="12" customFormat="false" ht="23.85" hidden="false" customHeight="false" outlineLevel="0" collapsed="false">
      <c r="A12" s="8" t="s">
        <v>132</v>
      </c>
      <c r="B12" s="8" t="s">
        <v>133</v>
      </c>
      <c r="C12" s="8" t="s">
        <v>134</v>
      </c>
      <c r="D12" s="8" t="s">
        <v>129</v>
      </c>
      <c r="E12" s="8" t="s">
        <v>135</v>
      </c>
      <c r="F12" s="12" t="n">
        <v>5</v>
      </c>
      <c r="G12" s="12" t="s">
        <v>136</v>
      </c>
    </row>
    <row r="13" customFormat="false" ht="23.85" hidden="false" customHeight="false" outlineLevel="0" collapsed="false">
      <c r="A13" s="8" t="s">
        <v>137</v>
      </c>
      <c r="B13" s="8" t="s">
        <v>138</v>
      </c>
      <c r="C13" s="8" t="s">
        <v>134</v>
      </c>
      <c r="D13" s="8" t="s">
        <v>139</v>
      </c>
      <c r="E13" s="8" t="s">
        <v>140</v>
      </c>
      <c r="F13" s="12" t="n">
        <v>4</v>
      </c>
      <c r="G13" s="12" t="s">
        <v>141</v>
      </c>
    </row>
    <row r="14" customFormat="false" ht="23.85" hidden="false" customHeight="false" outlineLevel="0" collapsed="false">
      <c r="A14" s="8" t="s">
        <v>142</v>
      </c>
      <c r="B14" s="8" t="s">
        <v>143</v>
      </c>
      <c r="C14" s="8" t="s">
        <v>144</v>
      </c>
      <c r="D14" s="8" t="s">
        <v>145</v>
      </c>
      <c r="E14" s="8" t="s">
        <v>146</v>
      </c>
      <c r="F14" s="12" t="n">
        <v>3</v>
      </c>
      <c r="G14" s="12" t="s">
        <v>147</v>
      </c>
    </row>
    <row r="15" customFormat="false" ht="23.85" hidden="false" customHeight="false" outlineLevel="0" collapsed="false">
      <c r="A15" s="8" t="s">
        <v>148</v>
      </c>
      <c r="B15" s="8" t="s">
        <v>149</v>
      </c>
      <c r="C15" s="8" t="s">
        <v>150</v>
      </c>
      <c r="D15" s="8" t="s">
        <v>103</v>
      </c>
      <c r="E15" s="8" t="s">
        <v>151</v>
      </c>
      <c r="F15" s="12" t="n">
        <v>2</v>
      </c>
      <c r="G15" s="12" t="s">
        <v>152</v>
      </c>
    </row>
  </sheetData>
  <dataValidations count="1">
    <dataValidation allowBlank="true" error="Enter a whole number from 1 to 5" errorStyle="stop" operator="between" showDropDown="false" showErrorMessage="true" showInputMessage="false" sqref="F2:F4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50"/>
    <col collapsed="false" customWidth="true" hidden="false" outlineLevel="0" max="5" min="4" style="0" width="16"/>
    <col collapsed="false" customWidth="true" hidden="false" outlineLevel="0" max="6" min="6" style="0" width="8"/>
    <col collapsed="false" customWidth="true" hidden="false" outlineLevel="0" max="7" min="7" style="0" width="18"/>
    <col collapsed="false" customWidth="true" hidden="false" outlineLevel="0" max="8" min="8" style="0" width="60"/>
  </cols>
  <sheetData>
    <row r="1" customFormat="false" ht="23.85" hidden="false" customHeight="false" outlineLevel="0" collapsed="false">
      <c r="A1" s="6" t="s">
        <v>153</v>
      </c>
      <c r="B1" s="6" t="s">
        <v>154</v>
      </c>
      <c r="C1" s="6" t="s">
        <v>155</v>
      </c>
      <c r="D1" s="6" t="s">
        <v>156</v>
      </c>
      <c r="E1" s="6" t="s">
        <v>157</v>
      </c>
      <c r="F1" s="6" t="s">
        <v>158</v>
      </c>
      <c r="G1" s="6" t="s">
        <v>13</v>
      </c>
      <c r="H1" s="6" t="s">
        <v>159</v>
      </c>
    </row>
    <row r="2" customFormat="false" ht="35.05" hidden="false" customHeight="false" outlineLevel="0" collapsed="false">
      <c r="A2" s="7" t="s">
        <v>160</v>
      </c>
      <c r="B2" s="7" t="s">
        <v>161</v>
      </c>
      <c r="C2" s="7" t="s">
        <v>162</v>
      </c>
      <c r="D2" s="12" t="n">
        <v>2</v>
      </c>
      <c r="E2" s="12" t="n">
        <v>3</v>
      </c>
      <c r="F2" s="9" t="n">
        <f aca="false">IF(OR(D2="",E2=""),"",E2-D2)</f>
        <v>1</v>
      </c>
      <c r="G2" s="12" t="s">
        <v>163</v>
      </c>
      <c r="H2" s="12" t="s">
        <v>164</v>
      </c>
    </row>
    <row r="3" customFormat="false" ht="23.85" hidden="false" customHeight="false" outlineLevel="0" collapsed="false">
      <c r="A3" s="7" t="s">
        <v>160</v>
      </c>
      <c r="B3" s="7" t="s">
        <v>165</v>
      </c>
      <c r="C3" s="7" t="s">
        <v>166</v>
      </c>
      <c r="D3" s="12" t="n">
        <v>1</v>
      </c>
      <c r="E3" s="12" t="n">
        <v>3</v>
      </c>
      <c r="F3" s="9" t="n">
        <f aca="false">IF(OR(D3="",E3=""),"",E3-D3)</f>
        <v>2</v>
      </c>
      <c r="G3" s="12" t="s">
        <v>163</v>
      </c>
      <c r="H3" s="12" t="s">
        <v>167</v>
      </c>
    </row>
    <row r="4" customFormat="false" ht="23.85" hidden="false" customHeight="false" outlineLevel="0" collapsed="false">
      <c r="A4" s="7" t="s">
        <v>160</v>
      </c>
      <c r="B4" s="7" t="s">
        <v>168</v>
      </c>
      <c r="C4" s="7" t="s">
        <v>169</v>
      </c>
      <c r="D4" s="12" t="n">
        <v>1</v>
      </c>
      <c r="E4" s="12" t="n">
        <v>3</v>
      </c>
      <c r="F4" s="9" t="n">
        <f aca="false">IF(OR(D4="",E4=""),"",E4-D4)</f>
        <v>2</v>
      </c>
      <c r="G4" s="12" t="s">
        <v>170</v>
      </c>
      <c r="H4" s="12" t="s">
        <v>171</v>
      </c>
    </row>
    <row r="5" customFormat="false" ht="23.85" hidden="false" customHeight="false" outlineLevel="0" collapsed="false">
      <c r="A5" s="7" t="s">
        <v>160</v>
      </c>
      <c r="B5" s="7" t="s">
        <v>172</v>
      </c>
      <c r="C5" s="7" t="s">
        <v>173</v>
      </c>
      <c r="D5" s="12" t="n">
        <v>2</v>
      </c>
      <c r="E5" s="12" t="n">
        <v>3</v>
      </c>
      <c r="F5" s="9" t="n">
        <f aca="false">IF(OR(D5="",E5=""),"",E5-D5)</f>
        <v>1</v>
      </c>
      <c r="G5" s="12" t="s">
        <v>174</v>
      </c>
      <c r="H5" s="12" t="s">
        <v>175</v>
      </c>
    </row>
    <row r="6" customFormat="false" ht="15" hidden="false" customHeight="false" outlineLevel="0" collapsed="false">
      <c r="A6" s="7" t="s">
        <v>160</v>
      </c>
      <c r="B6" s="7" t="s">
        <v>176</v>
      </c>
      <c r="C6" s="7" t="s">
        <v>177</v>
      </c>
      <c r="D6" s="12" t="n">
        <v>0</v>
      </c>
      <c r="E6" s="12" t="n">
        <v>2</v>
      </c>
      <c r="F6" s="9" t="n">
        <f aca="false">IF(OR(D6="",E6=""),"",E6-D6)</f>
        <v>2</v>
      </c>
      <c r="G6" s="12" t="s">
        <v>163</v>
      </c>
      <c r="H6" s="12" t="s">
        <v>178</v>
      </c>
    </row>
    <row r="7" customFormat="false" ht="23.85" hidden="false" customHeight="false" outlineLevel="0" collapsed="false">
      <c r="A7" s="7" t="s">
        <v>160</v>
      </c>
      <c r="B7" s="7" t="s">
        <v>179</v>
      </c>
      <c r="C7" s="7" t="s">
        <v>180</v>
      </c>
      <c r="D7" s="12" t="n">
        <v>1</v>
      </c>
      <c r="E7" s="12" t="n">
        <v>3</v>
      </c>
      <c r="F7" s="9" t="n">
        <f aca="false">IF(OR(D7="",E7=""),"",E7-D7)</f>
        <v>2</v>
      </c>
      <c r="G7" s="12" t="s">
        <v>181</v>
      </c>
      <c r="H7" s="12" t="s">
        <v>182</v>
      </c>
    </row>
    <row r="8" customFormat="false" ht="23.85" hidden="false" customHeight="false" outlineLevel="0" collapsed="false">
      <c r="A8" s="7" t="s">
        <v>183</v>
      </c>
      <c r="B8" s="7" t="s">
        <v>184</v>
      </c>
      <c r="C8" s="7" t="s">
        <v>185</v>
      </c>
      <c r="D8" s="12" t="n">
        <v>1</v>
      </c>
      <c r="E8" s="12" t="n">
        <v>3</v>
      </c>
      <c r="F8" s="9" t="n">
        <f aca="false">IF(OR(D8="",E8=""),"",E8-D8)</f>
        <v>2</v>
      </c>
      <c r="G8" s="12" t="s">
        <v>186</v>
      </c>
      <c r="H8" s="12" t="s">
        <v>187</v>
      </c>
    </row>
    <row r="9" customFormat="false" ht="23.85" hidden="false" customHeight="false" outlineLevel="0" collapsed="false">
      <c r="A9" s="7" t="s">
        <v>183</v>
      </c>
      <c r="B9" s="7" t="s">
        <v>188</v>
      </c>
      <c r="C9" s="7" t="s">
        <v>189</v>
      </c>
      <c r="D9" s="12" t="n">
        <v>1</v>
      </c>
      <c r="E9" s="12" t="n">
        <v>3</v>
      </c>
      <c r="F9" s="9" t="n">
        <f aca="false">IF(OR(D9="",E9=""),"",E9-D9)</f>
        <v>2</v>
      </c>
      <c r="G9" s="12" t="s">
        <v>190</v>
      </c>
      <c r="H9" s="12" t="s">
        <v>191</v>
      </c>
    </row>
    <row r="10" customFormat="false" ht="23.85" hidden="false" customHeight="false" outlineLevel="0" collapsed="false">
      <c r="A10" s="7" t="s">
        <v>183</v>
      </c>
      <c r="B10" s="7" t="s">
        <v>192</v>
      </c>
      <c r="C10" s="7" t="s">
        <v>193</v>
      </c>
      <c r="D10" s="12" t="n">
        <v>1</v>
      </c>
      <c r="E10" s="12" t="n">
        <v>2</v>
      </c>
      <c r="F10" s="9" t="n">
        <f aca="false">IF(OR(D10="",E10=""),"",E10-D10)</f>
        <v>1</v>
      </c>
      <c r="G10" s="12" t="s">
        <v>194</v>
      </c>
      <c r="H10" s="12" t="s">
        <v>195</v>
      </c>
    </row>
    <row r="11" customFormat="false" ht="23.85" hidden="false" customHeight="false" outlineLevel="0" collapsed="false">
      <c r="A11" s="7" t="s">
        <v>196</v>
      </c>
      <c r="B11" s="7" t="s">
        <v>197</v>
      </c>
      <c r="C11" s="7" t="s">
        <v>198</v>
      </c>
      <c r="D11" s="12" t="n">
        <v>1</v>
      </c>
      <c r="E11" s="12" t="n">
        <v>3</v>
      </c>
      <c r="F11" s="9" t="n">
        <f aca="false">IF(OR(D11="",E11=""),"",E11-D11)</f>
        <v>2</v>
      </c>
      <c r="G11" s="12" t="s">
        <v>199</v>
      </c>
      <c r="H11" s="12" t="s">
        <v>200</v>
      </c>
    </row>
    <row r="12" customFormat="false" ht="23.85" hidden="false" customHeight="false" outlineLevel="0" collapsed="false">
      <c r="A12" s="7" t="s">
        <v>196</v>
      </c>
      <c r="B12" s="7" t="s">
        <v>201</v>
      </c>
      <c r="C12" s="7" t="s">
        <v>202</v>
      </c>
      <c r="D12" s="12" t="n">
        <v>2</v>
      </c>
      <c r="E12" s="12" t="n">
        <v>3</v>
      </c>
      <c r="F12" s="9" t="n">
        <f aca="false">IF(OR(D12="",E12=""),"",E12-D12)</f>
        <v>1</v>
      </c>
      <c r="G12" s="12" t="s">
        <v>203</v>
      </c>
      <c r="H12" s="12" t="s">
        <v>204</v>
      </c>
    </row>
    <row r="13" customFormat="false" ht="23.85" hidden="false" customHeight="false" outlineLevel="0" collapsed="false">
      <c r="A13" s="7" t="s">
        <v>196</v>
      </c>
      <c r="B13" s="7" t="s">
        <v>205</v>
      </c>
      <c r="C13" s="7" t="s">
        <v>206</v>
      </c>
      <c r="D13" s="12" t="n">
        <v>1</v>
      </c>
      <c r="E13" s="12" t="n">
        <v>3</v>
      </c>
      <c r="F13" s="9" t="n">
        <f aca="false">IF(OR(D13="",E13=""),"",E13-D13)</f>
        <v>2</v>
      </c>
      <c r="G13" s="12" t="s">
        <v>207</v>
      </c>
      <c r="H13" s="12" t="s">
        <v>208</v>
      </c>
    </row>
    <row r="14" customFormat="false" ht="23.85" hidden="false" customHeight="false" outlineLevel="0" collapsed="false">
      <c r="A14" s="7" t="s">
        <v>196</v>
      </c>
      <c r="B14" s="7" t="s">
        <v>209</v>
      </c>
      <c r="C14" s="7" t="s">
        <v>210</v>
      </c>
      <c r="D14" s="12" t="n">
        <v>1</v>
      </c>
      <c r="E14" s="12" t="n">
        <v>3</v>
      </c>
      <c r="F14" s="9" t="n">
        <f aca="false">IF(OR(D14="",E14=""),"",E14-D14)</f>
        <v>2</v>
      </c>
      <c r="G14" s="12" t="s">
        <v>211</v>
      </c>
      <c r="H14" s="12" t="s">
        <v>212</v>
      </c>
    </row>
    <row r="15" customFormat="false" ht="23.85" hidden="false" customHeight="false" outlineLevel="0" collapsed="false">
      <c r="A15" s="7" t="s">
        <v>196</v>
      </c>
      <c r="B15" s="7" t="s">
        <v>213</v>
      </c>
      <c r="C15" s="7" t="s">
        <v>214</v>
      </c>
      <c r="D15" s="12" t="n">
        <v>1</v>
      </c>
      <c r="E15" s="12" t="n">
        <v>3</v>
      </c>
      <c r="F15" s="9" t="n">
        <f aca="false">IF(OR(D15="",E15=""),"",E15-D15)</f>
        <v>2</v>
      </c>
      <c r="G15" s="12" t="s">
        <v>215</v>
      </c>
      <c r="H15" s="12" t="s">
        <v>216</v>
      </c>
    </row>
    <row r="16" customFormat="false" ht="23.85" hidden="false" customHeight="false" outlineLevel="0" collapsed="false">
      <c r="A16" s="7" t="s">
        <v>217</v>
      </c>
      <c r="B16" s="7" t="s">
        <v>218</v>
      </c>
      <c r="C16" s="7" t="s">
        <v>219</v>
      </c>
      <c r="D16" s="12" t="n">
        <v>1</v>
      </c>
      <c r="E16" s="12" t="n">
        <v>3</v>
      </c>
      <c r="F16" s="9" t="n">
        <f aca="false">IF(OR(D16="",E16=""),"",E16-D16)</f>
        <v>2</v>
      </c>
      <c r="G16" s="12" t="s">
        <v>220</v>
      </c>
      <c r="H16" s="12" t="s">
        <v>221</v>
      </c>
    </row>
    <row r="17" customFormat="false" ht="23.85" hidden="false" customHeight="false" outlineLevel="0" collapsed="false">
      <c r="A17" s="7" t="s">
        <v>217</v>
      </c>
      <c r="B17" s="7" t="s">
        <v>222</v>
      </c>
      <c r="C17" s="7" t="s">
        <v>223</v>
      </c>
      <c r="D17" s="12" t="n">
        <v>0</v>
      </c>
      <c r="E17" s="12" t="n">
        <v>2</v>
      </c>
      <c r="F17" s="9" t="n">
        <f aca="false">IF(OR(D17="",E17=""),"",E17-D17)</f>
        <v>2</v>
      </c>
      <c r="G17" s="12" t="s">
        <v>220</v>
      </c>
      <c r="H17" s="12" t="s">
        <v>224</v>
      </c>
    </row>
    <row r="18" customFormat="false" ht="23.85" hidden="false" customHeight="false" outlineLevel="0" collapsed="false">
      <c r="A18" s="7" t="s">
        <v>225</v>
      </c>
      <c r="B18" s="7" t="s">
        <v>226</v>
      </c>
      <c r="C18" s="7" t="s">
        <v>227</v>
      </c>
      <c r="D18" s="12" t="n">
        <v>1</v>
      </c>
      <c r="E18" s="12" t="n">
        <v>3</v>
      </c>
      <c r="F18" s="9" t="n">
        <f aca="false">IF(OR(D18="",E18=""),"",E18-D18)</f>
        <v>2</v>
      </c>
      <c r="G18" s="12" t="s">
        <v>194</v>
      </c>
      <c r="H18" s="12" t="s">
        <v>228</v>
      </c>
    </row>
    <row r="19" customFormat="false" ht="15" hidden="false" customHeight="false" outlineLevel="0" collapsed="false">
      <c r="A19" s="7" t="s">
        <v>225</v>
      </c>
      <c r="B19" s="7" t="s">
        <v>229</v>
      </c>
      <c r="C19" s="7" t="s">
        <v>230</v>
      </c>
      <c r="D19" s="12" t="n">
        <v>1</v>
      </c>
      <c r="E19" s="12" t="n">
        <v>2</v>
      </c>
      <c r="F19" s="9" t="n">
        <f aca="false">IF(OR(D19="",E19=""),"",E19-D19)</f>
        <v>1</v>
      </c>
      <c r="G19" s="12" t="s">
        <v>231</v>
      </c>
      <c r="H19" s="12" t="s">
        <v>232</v>
      </c>
    </row>
    <row r="20" customFormat="false" ht="23.85" hidden="false" customHeight="false" outlineLevel="0" collapsed="false">
      <c r="A20" s="7" t="s">
        <v>225</v>
      </c>
      <c r="B20" s="7" t="s">
        <v>233</v>
      </c>
      <c r="C20" s="7" t="s">
        <v>234</v>
      </c>
      <c r="D20" s="12" t="n">
        <v>1</v>
      </c>
      <c r="E20" s="12" t="n">
        <v>2</v>
      </c>
      <c r="F20" s="9" t="n">
        <f aca="false">IF(OR(D20="",E20=""),"",E20-D20)</f>
        <v>1</v>
      </c>
      <c r="G20" s="12" t="s">
        <v>194</v>
      </c>
      <c r="H20" s="12" t="s">
        <v>235</v>
      </c>
    </row>
    <row r="21" customFormat="false" ht="15" hidden="false" customHeight="false" outlineLevel="0" collapsed="false">
      <c r="A21" s="7" t="s">
        <v>225</v>
      </c>
      <c r="B21" s="7" t="s">
        <v>236</v>
      </c>
      <c r="C21" s="7" t="s">
        <v>237</v>
      </c>
      <c r="D21" s="12" t="n">
        <v>1</v>
      </c>
      <c r="E21" s="12" t="n">
        <v>2</v>
      </c>
      <c r="F21" s="9" t="n">
        <f aca="false">IF(OR(D21="",E21=""),"",E21-D21)</f>
        <v>1</v>
      </c>
      <c r="G21" s="12" t="s">
        <v>238</v>
      </c>
      <c r="H21" s="12" t="s">
        <v>239</v>
      </c>
    </row>
    <row r="22" customFormat="false" ht="23.85" hidden="false" customHeight="false" outlineLevel="0" collapsed="false">
      <c r="A22" s="7" t="s">
        <v>240</v>
      </c>
      <c r="B22" s="7" t="s">
        <v>241</v>
      </c>
      <c r="C22" s="7" t="s">
        <v>242</v>
      </c>
      <c r="D22" s="12" t="n">
        <v>1</v>
      </c>
      <c r="E22" s="12" t="n">
        <v>3</v>
      </c>
      <c r="F22" s="9" t="n">
        <f aca="false">IF(OR(D22="",E22=""),"",E22-D22)</f>
        <v>2</v>
      </c>
      <c r="G22" s="12" t="s">
        <v>243</v>
      </c>
      <c r="H22" s="12" t="s">
        <v>244</v>
      </c>
    </row>
    <row r="23" customFormat="false" ht="15" hidden="false" customHeight="false" outlineLevel="0" collapsed="false">
      <c r="A23" s="7" t="s">
        <v>240</v>
      </c>
      <c r="B23" s="7" t="s">
        <v>245</v>
      </c>
      <c r="C23" s="7" t="s">
        <v>246</v>
      </c>
      <c r="D23" s="12" t="n">
        <v>0</v>
      </c>
      <c r="E23" s="12" t="n">
        <v>2</v>
      </c>
      <c r="F23" s="9" t="n">
        <f aca="false">IF(OR(D23="",E23=""),"",E23-D23)</f>
        <v>2</v>
      </c>
      <c r="G23" s="12" t="s">
        <v>247</v>
      </c>
      <c r="H23" s="12" t="s">
        <v>248</v>
      </c>
    </row>
    <row r="25" customFormat="false" ht="15" hidden="false" customHeight="false" outlineLevel="0" collapsed="false">
      <c r="A25" s="11" t="s">
        <v>249</v>
      </c>
    </row>
  </sheetData>
  <dataValidations count="1">
    <dataValidation allowBlank="true" error="Enter a whole number from 0 to 4" errorStyle="stop" operator="between" showDropDown="false" showErrorMessage="true" showInputMessage="false" sqref="D2:E23" type="whole">
      <formula1>0</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2"/>
    <col collapsed="false" customWidth="true" hidden="false" outlineLevel="0" max="4" min="4" style="0" width="13"/>
    <col collapsed="false" customWidth="true" hidden="false" outlineLevel="0" max="5" min="5" style="0" width="60"/>
    <col collapsed="false" customWidth="true" hidden="false" outlineLevel="0" max="7" min="6" style="0" width="12"/>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2" min="12" style="0" width="34"/>
    <col collapsed="false" customWidth="true" hidden="false" outlineLevel="0" max="13" min="13" style="0" width="12"/>
    <col collapsed="false" customWidth="true" hidden="false" outlineLevel="0" max="14" min="14" style="0" width="44"/>
    <col collapsed="false" customWidth="true" hidden="false" outlineLevel="0" max="15" min="15" style="0" width="20"/>
    <col collapsed="false" customWidth="true" hidden="false" outlineLevel="0" max="16" min="16" style="0" width="18"/>
    <col collapsed="false" customWidth="true" hidden="false" outlineLevel="0" max="17" min="17" style="0" width="11"/>
    <col collapsed="false" customWidth="true" hidden="false" outlineLevel="0" max="19" min="18" style="0" width="10"/>
    <col collapsed="false" customWidth="true" hidden="false" outlineLevel="0" max="20" min="20" style="0" width="11"/>
    <col collapsed="false" customWidth="true" hidden="false" outlineLevel="0" max="21" min="21" style="0" width="70"/>
  </cols>
  <sheetData>
    <row r="1" customFormat="false" ht="42" hidden="false" customHeight="true" outlineLevel="0" collapsed="false">
      <c r="A1" s="6" t="s">
        <v>250</v>
      </c>
      <c r="B1" s="6" t="s">
        <v>11</v>
      </c>
      <c r="C1" s="6" t="s">
        <v>251</v>
      </c>
      <c r="D1" s="6" t="s">
        <v>252</v>
      </c>
      <c r="E1" s="6" t="s">
        <v>253</v>
      </c>
      <c r="F1" s="6" t="s">
        <v>254</v>
      </c>
      <c r="G1" s="6" t="s">
        <v>255</v>
      </c>
      <c r="H1" s="6" t="s">
        <v>256</v>
      </c>
      <c r="I1" s="6" t="s">
        <v>257</v>
      </c>
      <c r="J1" s="6" t="s">
        <v>258</v>
      </c>
      <c r="K1" s="6" t="s">
        <v>259</v>
      </c>
      <c r="L1" s="6" t="s">
        <v>260</v>
      </c>
      <c r="M1" s="6" t="s">
        <v>23</v>
      </c>
      <c r="N1" s="6" t="s">
        <v>261</v>
      </c>
      <c r="O1" s="6" t="s">
        <v>76</v>
      </c>
      <c r="P1" s="6" t="s">
        <v>262</v>
      </c>
      <c r="Q1" s="6" t="s">
        <v>263</v>
      </c>
      <c r="R1" s="6" t="s">
        <v>264</v>
      </c>
      <c r="S1" s="6" t="s">
        <v>265</v>
      </c>
      <c r="T1" s="6" t="s">
        <v>266</v>
      </c>
      <c r="U1" s="6" t="s">
        <v>267</v>
      </c>
    </row>
    <row r="2" customFormat="false" ht="150" hidden="false" customHeight="true" outlineLevel="0" collapsed="false">
      <c r="A2" s="13" t="s">
        <v>268</v>
      </c>
      <c r="B2" s="12" t="s">
        <v>269</v>
      </c>
      <c r="C2" s="12" t="s">
        <v>270</v>
      </c>
      <c r="D2" s="12" t="s">
        <v>271</v>
      </c>
      <c r="E2" s="12" t="s">
        <v>272</v>
      </c>
      <c r="F2" s="12" t="s">
        <v>196</v>
      </c>
      <c r="G2" s="12" t="s">
        <v>213</v>
      </c>
      <c r="H2" s="12" t="n">
        <v>4</v>
      </c>
      <c r="I2" s="12" t="n">
        <v>5</v>
      </c>
      <c r="J2" s="14" t="n">
        <f aca="false">IF(OR(H2="",I2=""),"",H2*I2)</f>
        <v>20</v>
      </c>
      <c r="K2" s="15" t="str">
        <f aca="false">IF(J2="","",IF(J2&gt;='Scoring Method'!$B$22,"Critical",IF(J2&gt;='Scoring Method'!$B$21,"High",IF(J2&gt;='Scoring Method'!$B$20,"Medium","Low"))))</f>
        <v>Critical</v>
      </c>
      <c r="L2" s="12" t="s">
        <v>273</v>
      </c>
      <c r="M2" s="12" t="s">
        <v>274</v>
      </c>
      <c r="N2" s="12" t="s">
        <v>275</v>
      </c>
      <c r="O2" s="12" t="s">
        <v>83</v>
      </c>
      <c r="P2" s="14" t="str">
        <f aca="false">IF(K2="","",IF(K2="Critical","Immediate (30 days)",IF(K2="High","Short term (60 days)",IF(K2="Medium","Medium term (90 days)","Monitor"))))</f>
        <v>Immediate (30 days)</v>
      </c>
      <c r="Q2" s="12" t="n">
        <v>2</v>
      </c>
      <c r="R2" s="12" t="n">
        <v>4</v>
      </c>
      <c r="S2" s="14" t="n">
        <f aca="false">IF(OR(Q2="",R2=""),"",Q2*R2)</f>
        <v>8</v>
      </c>
      <c r="T2" s="15" t="str">
        <f aca="false">IF(S2="","",IF(S2&gt;='Scoring Method'!$B$22,"Critical",IF(S2&gt;='Scoring Method'!$B$21,"High",IF(S2&gt;='Scoring Method'!$B$20,"Medium","Low"))))</f>
        <v>Medium</v>
      </c>
      <c r="U2" s="14" t="s">
        <v>276</v>
      </c>
    </row>
    <row r="3" customFormat="false" ht="150" hidden="false" customHeight="true" outlineLevel="0" collapsed="false">
      <c r="A3" s="13" t="s">
        <v>277</v>
      </c>
      <c r="B3" s="12" t="s">
        <v>278</v>
      </c>
      <c r="C3" s="12" t="s">
        <v>279</v>
      </c>
      <c r="D3" s="12" t="s">
        <v>280</v>
      </c>
      <c r="E3" s="12" t="s">
        <v>281</v>
      </c>
      <c r="F3" s="12" t="s">
        <v>196</v>
      </c>
      <c r="G3" s="12" t="s">
        <v>209</v>
      </c>
      <c r="H3" s="12" t="n">
        <v>3</v>
      </c>
      <c r="I3" s="12" t="n">
        <v>4</v>
      </c>
      <c r="J3" s="14" t="n">
        <f aca="false">IF(OR(H3="",I3=""),"",H3*I3)</f>
        <v>12</v>
      </c>
      <c r="K3" s="15" t="str">
        <f aca="false">IF(J3="","",IF(J3&gt;='Scoring Method'!$B$22,"Critical",IF(J3&gt;='Scoring Method'!$B$21,"High",IF(J3&gt;='Scoring Method'!$B$20,"Medium","Low"))))</f>
        <v>High</v>
      </c>
      <c r="L3" s="12" t="s">
        <v>282</v>
      </c>
      <c r="M3" s="12" t="s">
        <v>274</v>
      </c>
      <c r="N3" s="12" t="s">
        <v>283</v>
      </c>
      <c r="O3" s="12" t="s">
        <v>284</v>
      </c>
      <c r="P3" s="14" t="str">
        <f aca="false">IF(K3="","",IF(K3="Critical","Immediate (30 days)",IF(K3="High","Short term (60 days)",IF(K3="Medium","Medium term (90 days)","Monitor"))))</f>
        <v>Short term (60 days)</v>
      </c>
      <c r="Q3" s="12" t="n">
        <v>2</v>
      </c>
      <c r="R3" s="12" t="n">
        <v>4</v>
      </c>
      <c r="S3" s="14" t="n">
        <f aca="false">IF(OR(Q3="",R3=""),"",Q3*R3)</f>
        <v>8</v>
      </c>
      <c r="T3" s="15" t="str">
        <f aca="false">IF(S3="","",IF(S3&gt;='Scoring Method'!$B$22,"Critical",IF(S3&gt;='Scoring Method'!$B$21,"High",IF(S3&gt;='Scoring Method'!$B$20,"Medium","Low"))))</f>
        <v>Medium</v>
      </c>
      <c r="U3" s="14" t="s">
        <v>285</v>
      </c>
    </row>
    <row r="4" customFormat="false" ht="150" hidden="false" customHeight="true" outlineLevel="0" collapsed="false">
      <c r="A4" s="13" t="s">
        <v>286</v>
      </c>
      <c r="B4" s="12" t="s">
        <v>287</v>
      </c>
      <c r="C4" s="12" t="s">
        <v>80</v>
      </c>
      <c r="D4" s="12" t="s">
        <v>288</v>
      </c>
      <c r="E4" s="12" t="s">
        <v>289</v>
      </c>
      <c r="F4" s="12" t="s">
        <v>196</v>
      </c>
      <c r="G4" s="12" t="s">
        <v>197</v>
      </c>
      <c r="H4" s="12" t="n">
        <v>4</v>
      </c>
      <c r="I4" s="12" t="n">
        <v>4</v>
      </c>
      <c r="J4" s="14" t="n">
        <f aca="false">IF(OR(H4="",I4=""),"",H4*I4)</f>
        <v>16</v>
      </c>
      <c r="K4" s="15" t="str">
        <f aca="false">IF(J4="","",IF(J4&gt;='Scoring Method'!$B$22,"Critical",IF(J4&gt;='Scoring Method'!$B$21,"High",IF(J4&gt;='Scoring Method'!$B$20,"Medium","Low"))))</f>
        <v>High</v>
      </c>
      <c r="L4" s="12" t="s">
        <v>290</v>
      </c>
      <c r="M4" s="12" t="s">
        <v>274</v>
      </c>
      <c r="N4" s="12" t="s">
        <v>291</v>
      </c>
      <c r="O4" s="12" t="s">
        <v>83</v>
      </c>
      <c r="P4" s="14" t="str">
        <f aca="false">IF(K4="","",IF(K4="Critical","Immediate (30 days)",IF(K4="High","Short term (60 days)",IF(K4="Medium","Medium term (90 days)","Monitor"))))</f>
        <v>Short term (60 days)</v>
      </c>
      <c r="Q4" s="12" t="n">
        <v>2</v>
      </c>
      <c r="R4" s="12" t="n">
        <v>3</v>
      </c>
      <c r="S4" s="14" t="n">
        <f aca="false">IF(OR(Q4="",R4=""),"",Q4*R4)</f>
        <v>6</v>
      </c>
      <c r="T4" s="15" t="str">
        <f aca="false">IF(S4="","",IF(S4&gt;='Scoring Method'!$B$22,"Critical",IF(S4&gt;='Scoring Method'!$B$21,"High",IF(S4&gt;='Scoring Method'!$B$20,"Medium","Low"))))</f>
        <v>Medium</v>
      </c>
      <c r="U4" s="14" t="s">
        <v>292</v>
      </c>
    </row>
    <row r="5" customFormat="false" ht="150" hidden="false" customHeight="true" outlineLevel="0" collapsed="false">
      <c r="A5" s="13" t="s">
        <v>293</v>
      </c>
      <c r="B5" s="12" t="s">
        <v>294</v>
      </c>
      <c r="C5" s="12" t="s">
        <v>295</v>
      </c>
      <c r="D5" s="12" t="s">
        <v>243</v>
      </c>
      <c r="E5" s="12" t="s">
        <v>296</v>
      </c>
      <c r="F5" s="12" t="s">
        <v>240</v>
      </c>
      <c r="G5" s="12" t="s">
        <v>241</v>
      </c>
      <c r="H5" s="12" t="n">
        <v>3</v>
      </c>
      <c r="I5" s="12" t="n">
        <v>5</v>
      </c>
      <c r="J5" s="14" t="n">
        <f aca="false">IF(OR(H5="",I5=""),"",H5*I5)</f>
        <v>15</v>
      </c>
      <c r="K5" s="15" t="str">
        <f aca="false">IF(J5="","",IF(J5&gt;='Scoring Method'!$B$22,"Critical",IF(J5&gt;='Scoring Method'!$B$21,"High",IF(J5&gt;='Scoring Method'!$B$20,"Medium","Low"))))</f>
        <v>High</v>
      </c>
      <c r="L5" s="12" t="s">
        <v>297</v>
      </c>
      <c r="M5" s="12" t="s">
        <v>274</v>
      </c>
      <c r="N5" s="12" t="s">
        <v>298</v>
      </c>
      <c r="O5" s="12" t="s">
        <v>103</v>
      </c>
      <c r="P5" s="14" t="str">
        <f aca="false">IF(K5="","",IF(K5="Critical","Immediate (30 days)",IF(K5="High","Short term (60 days)",IF(K5="Medium","Medium term (90 days)","Monitor"))))</f>
        <v>Short term (60 days)</v>
      </c>
      <c r="Q5" s="12" t="n">
        <v>2</v>
      </c>
      <c r="R5" s="12" t="n">
        <v>3</v>
      </c>
      <c r="S5" s="14" t="n">
        <f aca="false">IF(OR(Q5="",R5=""),"",Q5*R5)</f>
        <v>6</v>
      </c>
      <c r="T5" s="15" t="str">
        <f aca="false">IF(S5="","",IF(S5&gt;='Scoring Method'!$B$22,"Critical",IF(S5&gt;='Scoring Method'!$B$21,"High",IF(S5&gt;='Scoring Method'!$B$20,"Medium","Low"))))</f>
        <v>Medium</v>
      </c>
      <c r="U5" s="14" t="s">
        <v>299</v>
      </c>
    </row>
    <row r="6" customFormat="false" ht="150" hidden="false" customHeight="true" outlineLevel="0" collapsed="false">
      <c r="A6" s="13" t="s">
        <v>300</v>
      </c>
      <c r="B6" s="12" t="s">
        <v>301</v>
      </c>
      <c r="C6" s="12" t="s">
        <v>302</v>
      </c>
      <c r="D6" s="12" t="s">
        <v>303</v>
      </c>
      <c r="E6" s="12" t="s">
        <v>304</v>
      </c>
      <c r="F6" s="12" t="s">
        <v>196</v>
      </c>
      <c r="G6" s="12" t="s">
        <v>197</v>
      </c>
      <c r="H6" s="12" t="n">
        <v>4</v>
      </c>
      <c r="I6" s="12" t="n">
        <v>3</v>
      </c>
      <c r="J6" s="14" t="n">
        <f aca="false">IF(OR(H6="",I6=""),"",H6*I6)</f>
        <v>12</v>
      </c>
      <c r="K6" s="15" t="str">
        <f aca="false">IF(J6="","",IF(J6&gt;='Scoring Method'!$B$22,"Critical",IF(J6&gt;='Scoring Method'!$B$21,"High",IF(J6&gt;='Scoring Method'!$B$20,"Medium","Low"))))</f>
        <v>High</v>
      </c>
      <c r="L6" s="12" t="s">
        <v>305</v>
      </c>
      <c r="M6" s="12" t="s">
        <v>274</v>
      </c>
      <c r="N6" s="12" t="s">
        <v>306</v>
      </c>
      <c r="O6" s="12" t="s">
        <v>307</v>
      </c>
      <c r="P6" s="14" t="str">
        <f aca="false">IF(K6="","",IF(K6="Critical","Immediate (30 days)",IF(K6="High","Short term (60 days)",IF(K6="Medium","Medium term (90 days)","Monitor"))))</f>
        <v>Short term (60 days)</v>
      </c>
      <c r="Q6" s="12" t="n">
        <v>2</v>
      </c>
      <c r="R6" s="12" t="n">
        <v>2</v>
      </c>
      <c r="S6" s="14" t="n">
        <f aca="false">IF(OR(Q6="",R6=""),"",Q6*R6)</f>
        <v>4</v>
      </c>
      <c r="T6" s="15" t="str">
        <f aca="false">IF(S6="","",IF(S6&gt;='Scoring Method'!$B$22,"Critical",IF(S6&gt;='Scoring Method'!$B$21,"High",IF(S6&gt;='Scoring Method'!$B$20,"Medium","Low"))))</f>
        <v>Low</v>
      </c>
      <c r="U6" s="14" t="s">
        <v>308</v>
      </c>
    </row>
    <row r="7" customFormat="false" ht="150" hidden="false" customHeight="true" outlineLevel="0" collapsed="false">
      <c r="A7" s="13" t="s">
        <v>309</v>
      </c>
      <c r="B7" s="12" t="s">
        <v>310</v>
      </c>
      <c r="C7" s="12" t="s">
        <v>311</v>
      </c>
      <c r="D7" s="12" t="s">
        <v>312</v>
      </c>
      <c r="E7" s="12" t="s">
        <v>313</v>
      </c>
      <c r="F7" s="12" t="s">
        <v>160</v>
      </c>
      <c r="G7" s="12" t="s">
        <v>179</v>
      </c>
      <c r="H7" s="12" t="n">
        <v>2</v>
      </c>
      <c r="I7" s="12" t="n">
        <v>4</v>
      </c>
      <c r="J7" s="14" t="n">
        <f aca="false">IF(OR(H7="",I7=""),"",H7*I7)</f>
        <v>8</v>
      </c>
      <c r="K7" s="15" t="str">
        <f aca="false">IF(J7="","",IF(J7&gt;='Scoring Method'!$B$22,"Critical",IF(J7&gt;='Scoring Method'!$B$21,"High",IF(J7&gt;='Scoring Method'!$B$20,"Medium","Low"))))</f>
        <v>Medium</v>
      </c>
      <c r="L7" s="12" t="s">
        <v>314</v>
      </c>
      <c r="M7" s="12" t="s">
        <v>274</v>
      </c>
      <c r="N7" s="12" t="s">
        <v>315</v>
      </c>
      <c r="O7" s="12" t="s">
        <v>83</v>
      </c>
      <c r="P7" s="14" t="str">
        <f aca="false">IF(K7="","",IF(K7="Critical","Immediate (30 days)",IF(K7="High","Short term (60 days)",IF(K7="Medium","Medium term (90 days)","Monitor"))))</f>
        <v>Medium term (90 days)</v>
      </c>
      <c r="Q7" s="12" t="n">
        <v>1</v>
      </c>
      <c r="R7" s="12" t="n">
        <v>4</v>
      </c>
      <c r="S7" s="14" t="n">
        <f aca="false">IF(OR(Q7="",R7=""),"",Q7*R7)</f>
        <v>4</v>
      </c>
      <c r="T7" s="15" t="str">
        <f aca="false">IF(S7="","",IF(S7&gt;='Scoring Method'!$B$22,"Critical",IF(S7&gt;='Scoring Method'!$B$21,"High",IF(S7&gt;='Scoring Method'!$B$20,"Medium","Low"))))</f>
        <v>Low</v>
      </c>
      <c r="U7" s="14" t="s">
        <v>316</v>
      </c>
    </row>
    <row r="8" customFormat="false" ht="150" hidden="false" customHeight="true" outlineLevel="0" collapsed="false">
      <c r="A8" s="13" t="s">
        <v>317</v>
      </c>
      <c r="B8" s="12" t="s">
        <v>318</v>
      </c>
      <c r="C8" s="12" t="s">
        <v>319</v>
      </c>
      <c r="D8" s="12" t="s">
        <v>220</v>
      </c>
      <c r="E8" s="12" t="s">
        <v>320</v>
      </c>
      <c r="F8" s="12" t="s">
        <v>217</v>
      </c>
      <c r="G8" s="12" t="s">
        <v>218</v>
      </c>
      <c r="H8" s="12" t="n">
        <v>4</v>
      </c>
      <c r="I8" s="12" t="n">
        <v>3</v>
      </c>
      <c r="J8" s="14" t="n">
        <f aca="false">IF(OR(H8="",I8=""),"",H8*I8)</f>
        <v>12</v>
      </c>
      <c r="K8" s="15" t="str">
        <f aca="false">IF(J8="","",IF(J8&gt;='Scoring Method'!$B$22,"Critical",IF(J8&gt;='Scoring Method'!$B$21,"High",IF(J8&gt;='Scoring Method'!$B$20,"Medium","Low"))))</f>
        <v>High</v>
      </c>
      <c r="L8" s="12" t="s">
        <v>321</v>
      </c>
      <c r="M8" s="12" t="s">
        <v>274</v>
      </c>
      <c r="N8" s="12" t="s">
        <v>322</v>
      </c>
      <c r="O8" s="12" t="s">
        <v>103</v>
      </c>
      <c r="P8" s="14" t="str">
        <f aca="false">IF(K8="","",IF(K8="Critical","Immediate (30 days)",IF(K8="High","Short term (60 days)",IF(K8="Medium","Medium term (90 days)","Monitor"))))</f>
        <v>Short term (60 days)</v>
      </c>
      <c r="Q8" s="12" t="n">
        <v>2</v>
      </c>
      <c r="R8" s="12" t="n">
        <v>3</v>
      </c>
      <c r="S8" s="14" t="n">
        <f aca="false">IF(OR(Q8="",R8=""),"",Q8*R8)</f>
        <v>6</v>
      </c>
      <c r="T8" s="15" t="str">
        <f aca="false">IF(S8="","",IF(S8&gt;='Scoring Method'!$B$22,"Critical",IF(S8&gt;='Scoring Method'!$B$21,"High",IF(S8&gt;='Scoring Method'!$B$20,"Medium","Low"))))</f>
        <v>Medium</v>
      </c>
      <c r="U8" s="14" t="s">
        <v>323</v>
      </c>
    </row>
    <row r="9" customFormat="false" ht="150" hidden="false" customHeight="true" outlineLevel="0" collapsed="false">
      <c r="A9" s="13" t="s">
        <v>324</v>
      </c>
      <c r="B9" s="12" t="s">
        <v>325</v>
      </c>
      <c r="C9" s="12" t="s">
        <v>326</v>
      </c>
      <c r="D9" s="12" t="s">
        <v>194</v>
      </c>
      <c r="E9" s="12" t="s">
        <v>327</v>
      </c>
      <c r="F9" s="12" t="s">
        <v>225</v>
      </c>
      <c r="G9" s="12" t="s">
        <v>226</v>
      </c>
      <c r="H9" s="12" t="n">
        <v>3</v>
      </c>
      <c r="I9" s="12" t="n">
        <v>3</v>
      </c>
      <c r="J9" s="14" t="n">
        <f aca="false">IF(OR(H9="",I9=""),"",H9*I9)</f>
        <v>9</v>
      </c>
      <c r="K9" s="15" t="str">
        <f aca="false">IF(J9="","",IF(J9&gt;='Scoring Method'!$B$22,"Critical",IF(J9&gt;='Scoring Method'!$B$21,"High",IF(J9&gt;='Scoring Method'!$B$20,"Medium","Low"))))</f>
        <v>Medium</v>
      </c>
      <c r="L9" s="12" t="s">
        <v>328</v>
      </c>
      <c r="M9" s="12" t="s">
        <v>274</v>
      </c>
      <c r="N9" s="12" t="s">
        <v>329</v>
      </c>
      <c r="O9" s="12" t="s">
        <v>83</v>
      </c>
      <c r="P9" s="14" t="str">
        <f aca="false">IF(K9="","",IF(K9="Critical","Immediate (30 days)",IF(K9="High","Short term (60 days)",IF(K9="Medium","Medium term (90 days)","Monitor"))))</f>
        <v>Medium term (90 days)</v>
      </c>
      <c r="Q9" s="12" t="n">
        <v>2</v>
      </c>
      <c r="R9" s="12" t="n">
        <v>2</v>
      </c>
      <c r="S9" s="14" t="n">
        <f aca="false">IF(OR(Q9="",R9=""),"",Q9*R9)</f>
        <v>4</v>
      </c>
      <c r="T9" s="15" t="str">
        <f aca="false">IF(S9="","",IF(S9&gt;='Scoring Method'!$B$22,"Critical",IF(S9&gt;='Scoring Method'!$B$21,"High",IF(S9&gt;='Scoring Method'!$B$20,"Medium","Low"))))</f>
        <v>Low</v>
      </c>
      <c r="U9" s="14" t="s">
        <v>330</v>
      </c>
    </row>
    <row r="10" customFormat="false" ht="150" hidden="false" customHeight="true" outlineLevel="0" collapsed="false">
      <c r="A10" s="13" t="s">
        <v>331</v>
      </c>
      <c r="B10" s="12" t="s">
        <v>332</v>
      </c>
      <c r="C10" s="12" t="s">
        <v>333</v>
      </c>
      <c r="D10" s="12" t="s">
        <v>334</v>
      </c>
      <c r="E10" s="12" t="s">
        <v>335</v>
      </c>
      <c r="F10" s="12" t="s">
        <v>196</v>
      </c>
      <c r="G10" s="12" t="s">
        <v>205</v>
      </c>
      <c r="H10" s="12" t="n">
        <v>3</v>
      </c>
      <c r="I10" s="12" t="n">
        <v>3</v>
      </c>
      <c r="J10" s="14" t="n">
        <f aca="false">IF(OR(H10="",I10=""),"",H10*I10)</f>
        <v>9</v>
      </c>
      <c r="K10" s="15" t="str">
        <f aca="false">IF(J10="","",IF(J10&gt;='Scoring Method'!$B$22,"Critical",IF(J10&gt;='Scoring Method'!$B$21,"High",IF(J10&gt;='Scoring Method'!$B$20,"Medium","Low"))))</f>
        <v>Medium</v>
      </c>
      <c r="L10" s="12" t="s">
        <v>336</v>
      </c>
      <c r="M10" s="12" t="s">
        <v>274</v>
      </c>
      <c r="N10" s="12" t="s">
        <v>337</v>
      </c>
      <c r="O10" s="12" t="s">
        <v>103</v>
      </c>
      <c r="P10" s="14" t="str">
        <f aca="false">IF(K10="","",IF(K10="Critical","Immediate (30 days)",IF(K10="High","Short term (60 days)",IF(K10="Medium","Medium term (90 days)","Monitor"))))</f>
        <v>Medium term (90 days)</v>
      </c>
      <c r="Q10" s="12" t="n">
        <v>3</v>
      </c>
      <c r="R10" s="12" t="n">
        <v>1</v>
      </c>
      <c r="S10" s="14" t="n">
        <f aca="false">IF(OR(Q10="",R10=""),"",Q10*R10)</f>
        <v>3</v>
      </c>
      <c r="T10" s="15" t="str">
        <f aca="false">IF(S10="","",IF(S10&gt;='Scoring Method'!$B$22,"Critical",IF(S10&gt;='Scoring Method'!$B$21,"High",IF(S10&gt;='Scoring Method'!$B$20,"Medium","Low"))))</f>
        <v>Low</v>
      </c>
      <c r="U10" s="14" t="s">
        <v>338</v>
      </c>
    </row>
    <row r="11" customFormat="false" ht="150" hidden="false" customHeight="true" outlineLevel="0" collapsed="false">
      <c r="A11" s="13" t="s">
        <v>339</v>
      </c>
      <c r="B11" s="12" t="s">
        <v>340</v>
      </c>
      <c r="C11" s="12" t="s">
        <v>341</v>
      </c>
      <c r="D11" s="12" t="s">
        <v>342</v>
      </c>
      <c r="E11" s="12" t="s">
        <v>343</v>
      </c>
      <c r="F11" s="12" t="s">
        <v>196</v>
      </c>
      <c r="G11" s="12" t="s">
        <v>205</v>
      </c>
      <c r="H11" s="12" t="n">
        <v>3</v>
      </c>
      <c r="I11" s="12" t="n">
        <v>3</v>
      </c>
      <c r="J11" s="14" t="n">
        <f aca="false">IF(OR(H11="",I11=""),"",H11*I11)</f>
        <v>9</v>
      </c>
      <c r="K11" s="15" t="str">
        <f aca="false">IF(J11="","",IF(J11&gt;='Scoring Method'!$B$22,"Critical",IF(J11&gt;='Scoring Method'!$B$21,"High",IF(J11&gt;='Scoring Method'!$B$20,"Medium","Low"))))</f>
        <v>Medium</v>
      </c>
      <c r="L11" s="12" t="s">
        <v>344</v>
      </c>
      <c r="M11" s="12" t="s">
        <v>274</v>
      </c>
      <c r="N11" s="12" t="s">
        <v>345</v>
      </c>
      <c r="O11" s="12" t="s">
        <v>83</v>
      </c>
      <c r="P11" s="14" t="str">
        <f aca="false">IF(K11="","",IF(K11="Critical","Immediate (30 days)",IF(K11="High","Short term (60 days)",IF(K11="Medium","Medium term (90 days)","Monitor"))))</f>
        <v>Medium term (90 days)</v>
      </c>
      <c r="Q11" s="12" t="n">
        <v>2</v>
      </c>
      <c r="R11" s="12" t="n">
        <v>2</v>
      </c>
      <c r="S11" s="14" t="n">
        <f aca="false">IF(OR(Q11="",R11=""),"",Q11*R11)</f>
        <v>4</v>
      </c>
      <c r="T11" s="15" t="str">
        <f aca="false">IF(S11="","",IF(S11&gt;='Scoring Method'!$B$22,"Critical",IF(S11&gt;='Scoring Method'!$B$21,"High",IF(S11&gt;='Scoring Method'!$B$20,"Medium","Low"))))</f>
        <v>Low</v>
      </c>
      <c r="U11" s="14" t="s">
        <v>346</v>
      </c>
    </row>
    <row r="12" customFormat="false" ht="150" hidden="false" customHeight="true" outlineLevel="0" collapsed="false">
      <c r="A12" s="13" t="s">
        <v>347</v>
      </c>
      <c r="B12" s="12" t="s">
        <v>348</v>
      </c>
      <c r="C12" s="12" t="s">
        <v>111</v>
      </c>
      <c r="D12" s="12" t="s">
        <v>349</v>
      </c>
      <c r="E12" s="12" t="s">
        <v>350</v>
      </c>
      <c r="F12" s="12" t="s">
        <v>196</v>
      </c>
      <c r="G12" s="12" t="s">
        <v>209</v>
      </c>
      <c r="H12" s="12" t="n">
        <v>3</v>
      </c>
      <c r="I12" s="12" t="n">
        <v>3</v>
      </c>
      <c r="J12" s="14" t="n">
        <f aca="false">IF(OR(H12="",I12=""),"",H12*I12)</f>
        <v>9</v>
      </c>
      <c r="K12" s="15" t="str">
        <f aca="false">IF(J12="","",IF(J12&gt;='Scoring Method'!$B$22,"Critical",IF(J12&gt;='Scoring Method'!$B$21,"High",IF(J12&gt;='Scoring Method'!$B$20,"Medium","Low"))))</f>
        <v>Medium</v>
      </c>
      <c r="L12" s="12" t="s">
        <v>351</v>
      </c>
      <c r="M12" s="12" t="s">
        <v>274</v>
      </c>
      <c r="N12" s="12" t="s">
        <v>352</v>
      </c>
      <c r="O12" s="12" t="s">
        <v>103</v>
      </c>
      <c r="P12" s="14" t="str">
        <f aca="false">IF(K12="","",IF(K12="Critical","Immediate (30 days)",IF(K12="High","Short term (60 days)",IF(K12="Medium","Medium term (90 days)","Monitor"))))</f>
        <v>Medium term (90 days)</v>
      </c>
      <c r="Q12" s="12" t="n">
        <v>2</v>
      </c>
      <c r="R12" s="12" t="n">
        <v>2</v>
      </c>
      <c r="S12" s="14" t="n">
        <f aca="false">IF(OR(Q12="",R12=""),"",Q12*R12)</f>
        <v>4</v>
      </c>
      <c r="T12" s="15" t="str">
        <f aca="false">IF(S12="","",IF(S12&gt;='Scoring Method'!$B$22,"Critical",IF(S12&gt;='Scoring Method'!$B$21,"High",IF(S12&gt;='Scoring Method'!$B$20,"Medium","Low"))))</f>
        <v>Low</v>
      </c>
      <c r="U12" s="14" t="s">
        <v>353</v>
      </c>
    </row>
    <row r="13" customFormat="false" ht="150" hidden="false" customHeight="true" outlineLevel="0" collapsed="false">
      <c r="A13" s="13" t="s">
        <v>354</v>
      </c>
      <c r="B13" s="12" t="s">
        <v>355</v>
      </c>
      <c r="C13" s="12" t="s">
        <v>356</v>
      </c>
      <c r="D13" s="12" t="s">
        <v>357</v>
      </c>
      <c r="E13" s="12" t="s">
        <v>358</v>
      </c>
      <c r="F13" s="12" t="s">
        <v>160</v>
      </c>
      <c r="G13" s="12" t="s">
        <v>179</v>
      </c>
      <c r="H13" s="12" t="n">
        <v>2</v>
      </c>
      <c r="I13" s="12" t="n">
        <v>3</v>
      </c>
      <c r="J13" s="14" t="n">
        <f aca="false">IF(OR(H13="",I13=""),"",H13*I13)</f>
        <v>6</v>
      </c>
      <c r="K13" s="15" t="str">
        <f aca="false">IF(J13="","",IF(J13&gt;='Scoring Method'!$B$22,"Critical",IF(J13&gt;='Scoring Method'!$B$21,"High",IF(J13&gt;='Scoring Method'!$B$20,"Medium","Low"))))</f>
        <v>Medium</v>
      </c>
      <c r="L13" s="12" t="s">
        <v>359</v>
      </c>
      <c r="M13" s="12" t="s">
        <v>274</v>
      </c>
      <c r="N13" s="12" t="s">
        <v>360</v>
      </c>
      <c r="O13" s="12" t="s">
        <v>83</v>
      </c>
      <c r="P13" s="14" t="str">
        <f aca="false">IF(K13="","",IF(K13="Critical","Immediate (30 days)",IF(K13="High","Short term (60 days)",IF(K13="Medium","Medium term (90 days)","Monitor"))))</f>
        <v>Medium term (90 days)</v>
      </c>
      <c r="Q13" s="12" t="n">
        <v>2</v>
      </c>
      <c r="R13" s="12" t="n">
        <v>2</v>
      </c>
      <c r="S13" s="14" t="n">
        <f aca="false">IF(OR(Q13="",R13=""),"",Q13*R13)</f>
        <v>4</v>
      </c>
      <c r="T13" s="15" t="str">
        <f aca="false">IF(S13="","",IF(S13&gt;='Scoring Method'!$B$22,"Critical",IF(S13&gt;='Scoring Method'!$B$21,"High",IF(S13&gt;='Scoring Method'!$B$20,"Medium","Low"))))</f>
        <v>Low</v>
      </c>
      <c r="U13" s="14" t="s">
        <v>361</v>
      </c>
    </row>
    <row r="14" customFormat="false" ht="150" hidden="false" customHeight="true" outlineLevel="0" collapsed="false">
      <c r="A14" s="13" t="s">
        <v>362</v>
      </c>
      <c r="B14" s="12" t="s">
        <v>363</v>
      </c>
      <c r="C14" s="12" t="s">
        <v>364</v>
      </c>
      <c r="D14" s="12" t="s">
        <v>365</v>
      </c>
      <c r="E14" s="12" t="s">
        <v>366</v>
      </c>
      <c r="F14" s="12" t="s">
        <v>196</v>
      </c>
      <c r="G14" s="12" t="s">
        <v>197</v>
      </c>
      <c r="H14" s="12" t="n">
        <v>2</v>
      </c>
      <c r="I14" s="12" t="n">
        <v>3</v>
      </c>
      <c r="J14" s="14" t="n">
        <f aca="false">IF(OR(H14="",I14=""),"",H14*I14)</f>
        <v>6</v>
      </c>
      <c r="K14" s="15" t="str">
        <f aca="false">IF(J14="","",IF(J14&gt;='Scoring Method'!$B$22,"Critical",IF(J14&gt;='Scoring Method'!$B$21,"High",IF(J14&gt;='Scoring Method'!$B$20,"Medium","Low"))))</f>
        <v>Medium</v>
      </c>
      <c r="L14" s="12" t="s">
        <v>367</v>
      </c>
      <c r="M14" s="12" t="s">
        <v>274</v>
      </c>
      <c r="N14" s="12" t="s">
        <v>368</v>
      </c>
      <c r="O14" s="12" t="s">
        <v>145</v>
      </c>
      <c r="P14" s="14" t="str">
        <f aca="false">IF(K14="","",IF(K14="Critical","Immediate (30 days)",IF(K14="High","Short term (60 days)",IF(K14="Medium","Medium term (90 days)","Monitor"))))</f>
        <v>Medium term (90 days)</v>
      </c>
      <c r="Q14" s="12" t="n">
        <v>1</v>
      </c>
      <c r="R14" s="12" t="n">
        <v>3</v>
      </c>
      <c r="S14" s="14" t="n">
        <f aca="false">IF(OR(Q14="",R14=""),"",Q14*R14)</f>
        <v>3</v>
      </c>
      <c r="T14" s="15" t="str">
        <f aca="false">IF(S14="","",IF(S14&gt;='Scoring Method'!$B$22,"Critical",IF(S14&gt;='Scoring Method'!$B$21,"High",IF(S14&gt;='Scoring Method'!$B$20,"Medium","Low"))))</f>
        <v>Low</v>
      </c>
      <c r="U14" s="14" t="s">
        <v>369</v>
      </c>
    </row>
    <row r="15" customFormat="false" ht="150" hidden="false" customHeight="true" outlineLevel="0" collapsed="false">
      <c r="A15" s="13" t="s">
        <v>370</v>
      </c>
      <c r="B15" s="12" t="s">
        <v>371</v>
      </c>
      <c r="C15" s="12" t="s">
        <v>372</v>
      </c>
      <c r="D15" s="12" t="s">
        <v>163</v>
      </c>
      <c r="E15" s="12" t="s">
        <v>373</v>
      </c>
      <c r="F15" s="12" t="s">
        <v>160</v>
      </c>
      <c r="G15" s="12" t="s">
        <v>165</v>
      </c>
      <c r="H15" s="12" t="n">
        <v>4</v>
      </c>
      <c r="I15" s="12" t="n">
        <v>3</v>
      </c>
      <c r="J15" s="14" t="n">
        <f aca="false">IF(OR(H15="",I15=""),"",H15*I15)</f>
        <v>12</v>
      </c>
      <c r="K15" s="15" t="str">
        <f aca="false">IF(J15="","",IF(J15&gt;='Scoring Method'!$B$22,"Critical",IF(J15&gt;='Scoring Method'!$B$21,"High",IF(J15&gt;='Scoring Method'!$B$20,"Medium","Low"))))</f>
        <v>High</v>
      </c>
      <c r="L15" s="12" t="s">
        <v>374</v>
      </c>
      <c r="M15" s="12" t="s">
        <v>274</v>
      </c>
      <c r="N15" s="12" t="s">
        <v>375</v>
      </c>
      <c r="O15" s="12" t="s">
        <v>376</v>
      </c>
      <c r="P15" s="14" t="str">
        <f aca="false">IF(K15="","",IF(K15="Critical","Immediate (30 days)",IF(K15="High","Short term (60 days)",IF(K15="Medium","Medium term (90 days)","Monitor"))))</f>
        <v>Short term (60 days)</v>
      </c>
      <c r="Q15" s="12" t="n">
        <v>2</v>
      </c>
      <c r="R15" s="12" t="n">
        <v>3</v>
      </c>
      <c r="S15" s="14" t="n">
        <f aca="false">IF(OR(Q15="",R15=""),"",Q15*R15)</f>
        <v>6</v>
      </c>
      <c r="T15" s="15" t="str">
        <f aca="false">IF(S15="","",IF(S15&gt;='Scoring Method'!$B$22,"Critical",IF(S15&gt;='Scoring Method'!$B$21,"High",IF(S15&gt;='Scoring Method'!$B$20,"Medium","Low"))))</f>
        <v>Medium</v>
      </c>
      <c r="U15" s="14" t="s">
        <v>377</v>
      </c>
    </row>
    <row r="16" customFormat="false" ht="15" hidden="false" customHeight="false" outlineLevel="0" collapsed="false">
      <c r="A16" s="13" t="s">
        <v>378</v>
      </c>
      <c r="B16" s="12"/>
      <c r="C16" s="12"/>
      <c r="D16" s="12"/>
      <c r="E16" s="12"/>
      <c r="F16" s="12"/>
      <c r="G16" s="12"/>
      <c r="H16" s="12"/>
      <c r="I16" s="12"/>
      <c r="J16" s="14" t="str">
        <f aca="false">IF(OR(H16="",I16=""),"",H16*I16)</f>
        <v/>
      </c>
      <c r="K16" s="15" t="str">
        <f aca="false">IF(J16="","",IF(J16&gt;='Scoring Method'!$B$22,"Critical",IF(J16&gt;='Scoring Method'!$B$21,"High",IF(J16&gt;='Scoring Method'!$B$20,"Medium","Low"))))</f>
        <v/>
      </c>
      <c r="L16" s="12"/>
      <c r="M16" s="12"/>
      <c r="N16" s="12"/>
      <c r="O16" s="12"/>
      <c r="P16" s="14" t="str">
        <f aca="false">IF(K16="","",IF(K16="Critical","Immediate (30 days)",IF(K16="High","Short term (60 days)",IF(K16="Medium","Medium term (90 days)","Monitor"))))</f>
        <v/>
      </c>
      <c r="Q16" s="12"/>
      <c r="R16" s="12"/>
      <c r="S16" s="14" t="str">
        <f aca="false">IF(OR(Q16="",R16=""),"",Q16*R16)</f>
        <v/>
      </c>
      <c r="T16" s="15" t="str">
        <f aca="false">IF(S16="","",IF(S16&gt;='Scoring Method'!$B$22,"Critical",IF(S16&gt;='Scoring Method'!$B$21,"High",IF(S16&gt;='Scoring Method'!$B$20,"Medium","Low"))))</f>
        <v/>
      </c>
    </row>
    <row r="17" customFormat="false" ht="15" hidden="false" customHeight="false" outlineLevel="0" collapsed="false">
      <c r="A17" s="13" t="s">
        <v>379</v>
      </c>
      <c r="B17" s="12"/>
      <c r="C17" s="12"/>
      <c r="D17" s="12"/>
      <c r="E17" s="12"/>
      <c r="F17" s="12"/>
      <c r="G17" s="12"/>
      <c r="H17" s="12"/>
      <c r="I17" s="12"/>
      <c r="J17" s="14" t="str">
        <f aca="false">IF(OR(H17="",I17=""),"",H17*I17)</f>
        <v/>
      </c>
      <c r="K17" s="15" t="str">
        <f aca="false">IF(J17="","",IF(J17&gt;='Scoring Method'!$B$22,"Critical",IF(J17&gt;='Scoring Method'!$B$21,"High",IF(J17&gt;='Scoring Method'!$B$20,"Medium","Low"))))</f>
        <v/>
      </c>
      <c r="L17" s="12"/>
      <c r="M17" s="12"/>
      <c r="N17" s="12"/>
      <c r="O17" s="12"/>
      <c r="P17" s="14" t="str">
        <f aca="false">IF(K17="","",IF(K17="Critical","Immediate (30 days)",IF(K17="High","Short term (60 days)",IF(K17="Medium","Medium term (90 days)","Monitor"))))</f>
        <v/>
      </c>
      <c r="Q17" s="12"/>
      <c r="R17" s="12"/>
      <c r="S17" s="14" t="str">
        <f aca="false">IF(OR(Q17="",R17=""),"",Q17*R17)</f>
        <v/>
      </c>
      <c r="T17" s="15" t="str">
        <f aca="false">IF(S17="","",IF(S17&gt;='Scoring Method'!$B$22,"Critical",IF(S17&gt;='Scoring Method'!$B$21,"High",IF(S17&gt;='Scoring Method'!$B$20,"Medium","Low"))))</f>
        <v/>
      </c>
    </row>
    <row r="18" customFormat="false" ht="15" hidden="false" customHeight="false" outlineLevel="0" collapsed="false">
      <c r="A18" s="13" t="s">
        <v>380</v>
      </c>
      <c r="B18" s="12"/>
      <c r="C18" s="12"/>
      <c r="D18" s="12"/>
      <c r="E18" s="12"/>
      <c r="F18" s="12"/>
      <c r="G18" s="12"/>
      <c r="H18" s="12"/>
      <c r="I18" s="12"/>
      <c r="J18" s="14" t="str">
        <f aca="false">IF(OR(H18="",I18=""),"",H18*I18)</f>
        <v/>
      </c>
      <c r="K18" s="15" t="str">
        <f aca="false">IF(J18="","",IF(J18&gt;='Scoring Method'!$B$22,"Critical",IF(J18&gt;='Scoring Method'!$B$21,"High",IF(J18&gt;='Scoring Method'!$B$20,"Medium","Low"))))</f>
        <v/>
      </c>
      <c r="L18" s="12"/>
      <c r="M18" s="12"/>
      <c r="N18" s="12"/>
      <c r="O18" s="12"/>
      <c r="P18" s="14" t="str">
        <f aca="false">IF(K18="","",IF(K18="Critical","Immediate (30 days)",IF(K18="High","Short term (60 days)",IF(K18="Medium","Medium term (90 days)","Monitor"))))</f>
        <v/>
      </c>
      <c r="Q18" s="12"/>
      <c r="R18" s="12"/>
      <c r="S18" s="14" t="str">
        <f aca="false">IF(OR(Q18="",R18=""),"",Q18*R18)</f>
        <v/>
      </c>
      <c r="T18" s="15" t="str">
        <f aca="false">IF(S18="","",IF(S18&gt;='Scoring Method'!$B$22,"Critical",IF(S18&gt;='Scoring Method'!$B$21,"High",IF(S18&gt;='Scoring Method'!$B$20,"Medium","Low"))))</f>
        <v/>
      </c>
    </row>
    <row r="19" customFormat="false" ht="15" hidden="false" customHeight="false" outlineLevel="0" collapsed="false">
      <c r="A19" s="13" t="s">
        <v>381</v>
      </c>
      <c r="B19" s="12"/>
      <c r="C19" s="12"/>
      <c r="D19" s="12"/>
      <c r="E19" s="12"/>
      <c r="F19" s="12"/>
      <c r="G19" s="12"/>
      <c r="H19" s="12"/>
      <c r="I19" s="12"/>
      <c r="J19" s="14" t="str">
        <f aca="false">IF(OR(H19="",I19=""),"",H19*I19)</f>
        <v/>
      </c>
      <c r="K19" s="15" t="str">
        <f aca="false">IF(J19="","",IF(J19&gt;='Scoring Method'!$B$22,"Critical",IF(J19&gt;='Scoring Method'!$B$21,"High",IF(J19&gt;='Scoring Method'!$B$20,"Medium","Low"))))</f>
        <v/>
      </c>
      <c r="L19" s="12"/>
      <c r="M19" s="12"/>
      <c r="N19" s="12"/>
      <c r="O19" s="12"/>
      <c r="P19" s="14" t="str">
        <f aca="false">IF(K19="","",IF(K19="Critical","Immediate (30 days)",IF(K19="High","Short term (60 days)",IF(K19="Medium","Medium term (90 days)","Monitor"))))</f>
        <v/>
      </c>
      <c r="Q19" s="12"/>
      <c r="R19" s="12"/>
      <c r="S19" s="14" t="str">
        <f aca="false">IF(OR(Q19="",R19=""),"",Q19*R19)</f>
        <v/>
      </c>
      <c r="T19" s="15" t="str">
        <f aca="false">IF(S19="","",IF(S19&gt;='Scoring Method'!$B$22,"Critical",IF(S19&gt;='Scoring Method'!$B$21,"High",IF(S19&gt;='Scoring Method'!$B$20,"Medium","Low"))))</f>
        <v/>
      </c>
    </row>
    <row r="20" customFormat="false" ht="15" hidden="false" customHeight="false" outlineLevel="0" collapsed="false">
      <c r="A20" s="13" t="s">
        <v>382</v>
      </c>
      <c r="B20" s="12"/>
      <c r="C20" s="12"/>
      <c r="D20" s="12"/>
      <c r="E20" s="12"/>
      <c r="F20" s="12"/>
      <c r="G20" s="12"/>
      <c r="H20" s="12"/>
      <c r="I20" s="12"/>
      <c r="J20" s="14" t="str">
        <f aca="false">IF(OR(H20="",I20=""),"",H20*I20)</f>
        <v/>
      </c>
      <c r="K20" s="15" t="str">
        <f aca="false">IF(J20="","",IF(J20&gt;='Scoring Method'!$B$22,"Critical",IF(J20&gt;='Scoring Method'!$B$21,"High",IF(J20&gt;='Scoring Method'!$B$20,"Medium","Low"))))</f>
        <v/>
      </c>
      <c r="L20" s="12"/>
      <c r="M20" s="12"/>
      <c r="N20" s="12"/>
      <c r="O20" s="12"/>
      <c r="P20" s="14" t="str">
        <f aca="false">IF(K20="","",IF(K20="Critical","Immediate (30 days)",IF(K20="High","Short term (60 days)",IF(K20="Medium","Medium term (90 days)","Monitor"))))</f>
        <v/>
      </c>
      <c r="Q20" s="12"/>
      <c r="R20" s="12"/>
      <c r="S20" s="14" t="str">
        <f aca="false">IF(OR(Q20="",R20=""),"",Q20*R20)</f>
        <v/>
      </c>
      <c r="T20" s="15" t="str">
        <f aca="false">IF(S20="","",IF(S20&gt;='Scoring Method'!$B$22,"Critical",IF(S20&gt;='Scoring Method'!$B$21,"High",IF(S20&gt;='Scoring Method'!$B$20,"Medium","Low"))))</f>
        <v/>
      </c>
    </row>
    <row r="21" customFormat="false" ht="15" hidden="false" customHeight="false" outlineLevel="0" collapsed="false">
      <c r="A21" s="13" t="s">
        <v>383</v>
      </c>
      <c r="B21" s="12"/>
      <c r="C21" s="12"/>
      <c r="D21" s="12"/>
      <c r="E21" s="12"/>
      <c r="F21" s="12"/>
      <c r="G21" s="12"/>
      <c r="H21" s="12"/>
      <c r="I21" s="12"/>
      <c r="J21" s="14" t="str">
        <f aca="false">IF(OR(H21="",I21=""),"",H21*I21)</f>
        <v/>
      </c>
      <c r="K21" s="15" t="str">
        <f aca="false">IF(J21="","",IF(J21&gt;='Scoring Method'!$B$22,"Critical",IF(J21&gt;='Scoring Method'!$B$21,"High",IF(J21&gt;='Scoring Method'!$B$20,"Medium","Low"))))</f>
        <v/>
      </c>
      <c r="L21" s="12"/>
      <c r="M21" s="12"/>
      <c r="N21" s="12"/>
      <c r="O21" s="12"/>
      <c r="P21" s="14" t="str">
        <f aca="false">IF(K21="","",IF(K21="Critical","Immediate (30 days)",IF(K21="High","Short term (60 days)",IF(K21="Medium","Medium term (90 days)","Monitor"))))</f>
        <v/>
      </c>
      <c r="Q21" s="12"/>
      <c r="R21" s="12"/>
      <c r="S21" s="14" t="str">
        <f aca="false">IF(OR(Q21="",R21=""),"",Q21*R21)</f>
        <v/>
      </c>
      <c r="T21" s="15" t="str">
        <f aca="false">IF(S21="","",IF(S21&gt;='Scoring Method'!$B$22,"Critical",IF(S21&gt;='Scoring Method'!$B$21,"High",IF(S21&gt;='Scoring Method'!$B$20,"Medium","Low"))))</f>
        <v/>
      </c>
    </row>
    <row r="22" customFormat="false" ht="15" hidden="false" customHeight="false" outlineLevel="0" collapsed="false">
      <c r="A22" s="13" t="s">
        <v>384</v>
      </c>
      <c r="B22" s="12"/>
      <c r="C22" s="12"/>
      <c r="D22" s="12"/>
      <c r="E22" s="12"/>
      <c r="F22" s="12"/>
      <c r="G22" s="12"/>
      <c r="H22" s="12"/>
      <c r="I22" s="12"/>
      <c r="J22" s="14" t="str">
        <f aca="false">IF(OR(H22="",I22=""),"",H22*I22)</f>
        <v/>
      </c>
      <c r="K22" s="15" t="str">
        <f aca="false">IF(J22="","",IF(J22&gt;='Scoring Method'!$B$22,"Critical",IF(J22&gt;='Scoring Method'!$B$21,"High",IF(J22&gt;='Scoring Method'!$B$20,"Medium","Low"))))</f>
        <v/>
      </c>
      <c r="L22" s="12"/>
      <c r="M22" s="12"/>
      <c r="N22" s="12"/>
      <c r="O22" s="12"/>
      <c r="P22" s="14" t="str">
        <f aca="false">IF(K22="","",IF(K22="Critical","Immediate (30 days)",IF(K22="High","Short term (60 days)",IF(K22="Medium","Medium term (90 days)","Monitor"))))</f>
        <v/>
      </c>
      <c r="Q22" s="12"/>
      <c r="R22" s="12"/>
      <c r="S22" s="14" t="str">
        <f aca="false">IF(OR(Q22="",R22=""),"",Q22*R22)</f>
        <v/>
      </c>
      <c r="T22" s="15" t="str">
        <f aca="false">IF(S22="","",IF(S22&gt;='Scoring Method'!$B$22,"Critical",IF(S22&gt;='Scoring Method'!$B$21,"High",IF(S22&gt;='Scoring Method'!$B$20,"Medium","Low"))))</f>
        <v/>
      </c>
    </row>
    <row r="23" customFormat="false" ht="15" hidden="false" customHeight="false" outlineLevel="0" collapsed="false">
      <c r="A23" s="13" t="s">
        <v>385</v>
      </c>
      <c r="B23" s="12"/>
      <c r="C23" s="12"/>
      <c r="D23" s="12"/>
      <c r="E23" s="12"/>
      <c r="F23" s="12"/>
      <c r="G23" s="12"/>
      <c r="H23" s="12"/>
      <c r="I23" s="12"/>
      <c r="J23" s="14" t="str">
        <f aca="false">IF(OR(H23="",I23=""),"",H23*I23)</f>
        <v/>
      </c>
      <c r="K23" s="15" t="str">
        <f aca="false">IF(J23="","",IF(J23&gt;='Scoring Method'!$B$22,"Critical",IF(J23&gt;='Scoring Method'!$B$21,"High",IF(J23&gt;='Scoring Method'!$B$20,"Medium","Low"))))</f>
        <v/>
      </c>
      <c r="L23" s="12"/>
      <c r="M23" s="12"/>
      <c r="N23" s="12"/>
      <c r="O23" s="12"/>
      <c r="P23" s="14" t="str">
        <f aca="false">IF(K23="","",IF(K23="Critical","Immediate (30 days)",IF(K23="High","Short term (60 days)",IF(K23="Medium","Medium term (90 days)","Monitor"))))</f>
        <v/>
      </c>
      <c r="Q23" s="12"/>
      <c r="R23" s="12"/>
      <c r="S23" s="14" t="str">
        <f aca="false">IF(OR(Q23="",R23=""),"",Q23*R23)</f>
        <v/>
      </c>
      <c r="T23" s="15" t="str">
        <f aca="false">IF(S23="","",IF(S23&gt;='Scoring Method'!$B$22,"Critical",IF(S23&gt;='Scoring Method'!$B$21,"High",IF(S23&gt;='Scoring Method'!$B$20,"Medium","Low"))))</f>
        <v/>
      </c>
    </row>
    <row r="24" customFormat="false" ht="15" hidden="false" customHeight="false" outlineLevel="0" collapsed="false">
      <c r="A24" s="13" t="s">
        <v>386</v>
      </c>
      <c r="B24" s="12"/>
      <c r="C24" s="12"/>
      <c r="D24" s="12"/>
      <c r="E24" s="12"/>
      <c r="F24" s="12"/>
      <c r="G24" s="12"/>
      <c r="H24" s="12"/>
      <c r="I24" s="12"/>
      <c r="J24" s="14" t="str">
        <f aca="false">IF(OR(H24="",I24=""),"",H24*I24)</f>
        <v/>
      </c>
      <c r="K24" s="15" t="str">
        <f aca="false">IF(J24="","",IF(J24&gt;='Scoring Method'!$B$22,"Critical",IF(J24&gt;='Scoring Method'!$B$21,"High",IF(J24&gt;='Scoring Method'!$B$20,"Medium","Low"))))</f>
        <v/>
      </c>
      <c r="L24" s="12"/>
      <c r="M24" s="12"/>
      <c r="N24" s="12"/>
      <c r="O24" s="12"/>
      <c r="P24" s="14" t="str">
        <f aca="false">IF(K24="","",IF(K24="Critical","Immediate (30 days)",IF(K24="High","Short term (60 days)",IF(K24="Medium","Medium term (90 days)","Monitor"))))</f>
        <v/>
      </c>
      <c r="Q24" s="12"/>
      <c r="R24" s="12"/>
      <c r="S24" s="14" t="str">
        <f aca="false">IF(OR(Q24="",R24=""),"",Q24*R24)</f>
        <v/>
      </c>
      <c r="T24" s="15" t="str">
        <f aca="false">IF(S24="","",IF(S24&gt;='Scoring Method'!$B$22,"Critical",IF(S24&gt;='Scoring Method'!$B$21,"High",IF(S24&gt;='Scoring Method'!$B$20,"Medium","Low"))))</f>
        <v/>
      </c>
    </row>
    <row r="25" customFormat="false" ht="15" hidden="false" customHeight="false" outlineLevel="0" collapsed="false">
      <c r="A25" s="13" t="s">
        <v>387</v>
      </c>
      <c r="B25" s="12"/>
      <c r="C25" s="12"/>
      <c r="D25" s="12"/>
      <c r="E25" s="12"/>
      <c r="F25" s="12"/>
      <c r="G25" s="12"/>
      <c r="H25" s="12"/>
      <c r="I25" s="12"/>
      <c r="J25" s="14" t="str">
        <f aca="false">IF(OR(H25="",I25=""),"",H25*I25)</f>
        <v/>
      </c>
      <c r="K25" s="15" t="str">
        <f aca="false">IF(J25="","",IF(J25&gt;='Scoring Method'!$B$22,"Critical",IF(J25&gt;='Scoring Method'!$B$21,"High",IF(J25&gt;='Scoring Method'!$B$20,"Medium","Low"))))</f>
        <v/>
      </c>
      <c r="L25" s="12"/>
      <c r="M25" s="12"/>
      <c r="N25" s="12"/>
      <c r="O25" s="12"/>
      <c r="P25" s="14" t="str">
        <f aca="false">IF(K25="","",IF(K25="Critical","Immediate (30 days)",IF(K25="High","Short term (60 days)",IF(K25="Medium","Medium term (90 days)","Monitor"))))</f>
        <v/>
      </c>
      <c r="Q25" s="12"/>
      <c r="R25" s="12"/>
      <c r="S25" s="14" t="str">
        <f aca="false">IF(OR(Q25="",R25=""),"",Q25*R25)</f>
        <v/>
      </c>
      <c r="T25" s="15" t="str">
        <f aca="false">IF(S25="","",IF(S25&gt;='Scoring Method'!$B$22,"Critical",IF(S25&gt;='Scoring Method'!$B$21,"High",IF(S25&gt;='Scoring Method'!$B$20,"Medium","Low"))))</f>
        <v/>
      </c>
    </row>
    <row r="26" customFormat="false" ht="15" hidden="false" customHeight="false" outlineLevel="0" collapsed="false">
      <c r="A26" s="13" t="s">
        <v>388</v>
      </c>
      <c r="B26" s="12"/>
      <c r="C26" s="12"/>
      <c r="D26" s="12"/>
      <c r="E26" s="12"/>
      <c r="F26" s="12"/>
      <c r="G26" s="12"/>
      <c r="H26" s="12"/>
      <c r="I26" s="12"/>
      <c r="J26" s="14" t="str">
        <f aca="false">IF(OR(H26="",I26=""),"",H26*I26)</f>
        <v/>
      </c>
      <c r="K26" s="15" t="str">
        <f aca="false">IF(J26="","",IF(J26&gt;='Scoring Method'!$B$22,"Critical",IF(J26&gt;='Scoring Method'!$B$21,"High",IF(J26&gt;='Scoring Method'!$B$20,"Medium","Low"))))</f>
        <v/>
      </c>
      <c r="L26" s="12"/>
      <c r="M26" s="12"/>
      <c r="N26" s="12"/>
      <c r="O26" s="12"/>
      <c r="P26" s="14" t="str">
        <f aca="false">IF(K26="","",IF(K26="Critical","Immediate (30 days)",IF(K26="High","Short term (60 days)",IF(K26="Medium","Medium term (90 days)","Monitor"))))</f>
        <v/>
      </c>
      <c r="Q26" s="12"/>
      <c r="R26" s="12"/>
      <c r="S26" s="14" t="str">
        <f aca="false">IF(OR(Q26="",R26=""),"",Q26*R26)</f>
        <v/>
      </c>
      <c r="T26" s="15" t="str">
        <f aca="false">IF(S26="","",IF(S26&gt;='Scoring Method'!$B$22,"Critical",IF(S26&gt;='Scoring Method'!$B$21,"High",IF(S26&gt;='Scoring Method'!$B$20,"Medium","Low"))))</f>
        <v/>
      </c>
    </row>
    <row r="27" customFormat="false" ht="15" hidden="false" customHeight="false" outlineLevel="0" collapsed="false">
      <c r="A27" s="13" t="s">
        <v>389</v>
      </c>
      <c r="B27" s="12"/>
      <c r="C27" s="12"/>
      <c r="D27" s="12"/>
      <c r="E27" s="12"/>
      <c r="F27" s="12"/>
      <c r="G27" s="12"/>
      <c r="H27" s="12"/>
      <c r="I27" s="12"/>
      <c r="J27" s="14" t="str">
        <f aca="false">IF(OR(H27="",I27=""),"",H27*I27)</f>
        <v/>
      </c>
      <c r="K27" s="15" t="str">
        <f aca="false">IF(J27="","",IF(J27&gt;='Scoring Method'!$B$22,"Critical",IF(J27&gt;='Scoring Method'!$B$21,"High",IF(J27&gt;='Scoring Method'!$B$20,"Medium","Low"))))</f>
        <v/>
      </c>
      <c r="L27" s="12"/>
      <c r="M27" s="12"/>
      <c r="N27" s="12"/>
      <c r="O27" s="12"/>
      <c r="P27" s="14" t="str">
        <f aca="false">IF(K27="","",IF(K27="Critical","Immediate (30 days)",IF(K27="High","Short term (60 days)",IF(K27="Medium","Medium term (90 days)","Monitor"))))</f>
        <v/>
      </c>
      <c r="Q27" s="12"/>
      <c r="R27" s="12"/>
      <c r="S27" s="14" t="str">
        <f aca="false">IF(OR(Q27="",R27=""),"",Q27*R27)</f>
        <v/>
      </c>
      <c r="T27" s="15" t="str">
        <f aca="false">IF(S27="","",IF(S27&gt;='Scoring Method'!$B$22,"Critical",IF(S27&gt;='Scoring Method'!$B$21,"High",IF(S27&gt;='Scoring Method'!$B$20,"Medium","Low"))))</f>
        <v/>
      </c>
    </row>
    <row r="28" customFormat="false" ht="15" hidden="false" customHeight="false" outlineLevel="0" collapsed="false">
      <c r="A28" s="13" t="s">
        <v>390</v>
      </c>
      <c r="B28" s="12"/>
      <c r="C28" s="12"/>
      <c r="D28" s="12"/>
      <c r="E28" s="12"/>
      <c r="F28" s="12"/>
      <c r="G28" s="12"/>
      <c r="H28" s="12"/>
      <c r="I28" s="12"/>
      <c r="J28" s="14" t="str">
        <f aca="false">IF(OR(H28="",I28=""),"",H28*I28)</f>
        <v/>
      </c>
      <c r="K28" s="15" t="str">
        <f aca="false">IF(J28="","",IF(J28&gt;='Scoring Method'!$B$22,"Critical",IF(J28&gt;='Scoring Method'!$B$21,"High",IF(J28&gt;='Scoring Method'!$B$20,"Medium","Low"))))</f>
        <v/>
      </c>
      <c r="L28" s="12"/>
      <c r="M28" s="12"/>
      <c r="N28" s="12"/>
      <c r="O28" s="12"/>
      <c r="P28" s="14" t="str">
        <f aca="false">IF(K28="","",IF(K28="Critical","Immediate (30 days)",IF(K28="High","Short term (60 days)",IF(K28="Medium","Medium term (90 days)","Monitor"))))</f>
        <v/>
      </c>
      <c r="Q28" s="12"/>
      <c r="R28" s="12"/>
      <c r="S28" s="14" t="str">
        <f aca="false">IF(OR(Q28="",R28=""),"",Q28*R28)</f>
        <v/>
      </c>
      <c r="T28" s="15" t="str">
        <f aca="false">IF(S28="","",IF(S28&gt;='Scoring Method'!$B$22,"Critical",IF(S28&gt;='Scoring Method'!$B$21,"High",IF(S28&gt;='Scoring Method'!$B$20,"Medium","Low"))))</f>
        <v/>
      </c>
    </row>
    <row r="29" customFormat="false" ht="15" hidden="false" customHeight="false" outlineLevel="0" collapsed="false">
      <c r="A29" s="13" t="s">
        <v>391</v>
      </c>
      <c r="B29" s="12"/>
      <c r="C29" s="12"/>
      <c r="D29" s="12"/>
      <c r="E29" s="12"/>
      <c r="F29" s="12"/>
      <c r="G29" s="12"/>
      <c r="H29" s="12"/>
      <c r="I29" s="12"/>
      <c r="J29" s="14" t="str">
        <f aca="false">IF(OR(H29="",I29=""),"",H29*I29)</f>
        <v/>
      </c>
      <c r="K29" s="15" t="str">
        <f aca="false">IF(J29="","",IF(J29&gt;='Scoring Method'!$B$22,"Critical",IF(J29&gt;='Scoring Method'!$B$21,"High",IF(J29&gt;='Scoring Method'!$B$20,"Medium","Low"))))</f>
        <v/>
      </c>
      <c r="L29" s="12"/>
      <c r="M29" s="12"/>
      <c r="N29" s="12"/>
      <c r="O29" s="12"/>
      <c r="P29" s="14" t="str">
        <f aca="false">IF(K29="","",IF(K29="Critical","Immediate (30 days)",IF(K29="High","Short term (60 days)",IF(K29="Medium","Medium term (90 days)","Monitor"))))</f>
        <v/>
      </c>
      <c r="Q29" s="12"/>
      <c r="R29" s="12"/>
      <c r="S29" s="14" t="str">
        <f aca="false">IF(OR(Q29="",R29=""),"",Q29*R29)</f>
        <v/>
      </c>
      <c r="T29" s="15" t="str">
        <f aca="false">IF(S29="","",IF(S29&gt;='Scoring Method'!$B$22,"Critical",IF(S29&gt;='Scoring Method'!$B$21,"High",IF(S29&gt;='Scoring Method'!$B$20,"Medium","Low"))))</f>
        <v/>
      </c>
    </row>
    <row r="30" customFormat="false" ht="15" hidden="false" customHeight="false" outlineLevel="0" collapsed="false">
      <c r="A30" s="13" t="s">
        <v>392</v>
      </c>
      <c r="B30" s="12"/>
      <c r="C30" s="12"/>
      <c r="D30" s="12"/>
      <c r="E30" s="12"/>
      <c r="F30" s="12"/>
      <c r="G30" s="12"/>
      <c r="H30" s="12"/>
      <c r="I30" s="12"/>
      <c r="J30" s="14" t="str">
        <f aca="false">IF(OR(H30="",I30=""),"",H30*I30)</f>
        <v/>
      </c>
      <c r="K30" s="15" t="str">
        <f aca="false">IF(J30="","",IF(J30&gt;='Scoring Method'!$B$22,"Critical",IF(J30&gt;='Scoring Method'!$B$21,"High",IF(J30&gt;='Scoring Method'!$B$20,"Medium","Low"))))</f>
        <v/>
      </c>
      <c r="L30" s="12"/>
      <c r="M30" s="12"/>
      <c r="N30" s="12"/>
      <c r="O30" s="12"/>
      <c r="P30" s="14" t="str">
        <f aca="false">IF(K30="","",IF(K30="Critical","Immediate (30 days)",IF(K30="High","Short term (60 days)",IF(K30="Medium","Medium term (90 days)","Monitor"))))</f>
        <v/>
      </c>
      <c r="Q30" s="12"/>
      <c r="R30" s="12"/>
      <c r="S30" s="14" t="str">
        <f aca="false">IF(OR(Q30="",R30=""),"",Q30*R30)</f>
        <v/>
      </c>
      <c r="T30" s="15" t="str">
        <f aca="false">IF(S30="","",IF(S30&gt;='Scoring Method'!$B$22,"Critical",IF(S30&gt;='Scoring Method'!$B$21,"High",IF(S30&gt;='Scoring Method'!$B$20,"Medium","Low"))))</f>
        <v/>
      </c>
    </row>
    <row r="31" customFormat="false" ht="15" hidden="false" customHeight="false" outlineLevel="0" collapsed="false">
      <c r="A31" s="13" t="s">
        <v>393</v>
      </c>
      <c r="B31" s="12"/>
      <c r="C31" s="12"/>
      <c r="D31" s="12"/>
      <c r="E31" s="12"/>
      <c r="F31" s="12"/>
      <c r="G31" s="12"/>
      <c r="H31" s="12"/>
      <c r="I31" s="12"/>
      <c r="J31" s="14" t="str">
        <f aca="false">IF(OR(H31="",I31=""),"",H31*I31)</f>
        <v/>
      </c>
      <c r="K31" s="15" t="str">
        <f aca="false">IF(J31="","",IF(J31&gt;='Scoring Method'!$B$22,"Critical",IF(J31&gt;='Scoring Method'!$B$21,"High",IF(J31&gt;='Scoring Method'!$B$20,"Medium","Low"))))</f>
        <v/>
      </c>
      <c r="L31" s="12"/>
      <c r="M31" s="12"/>
      <c r="N31" s="12"/>
      <c r="O31" s="12"/>
      <c r="P31" s="14" t="str">
        <f aca="false">IF(K31="","",IF(K31="Critical","Immediate (30 days)",IF(K31="High","Short term (60 days)",IF(K31="Medium","Medium term (90 days)","Monitor"))))</f>
        <v/>
      </c>
      <c r="Q31" s="12"/>
      <c r="R31" s="12"/>
      <c r="S31" s="14" t="str">
        <f aca="false">IF(OR(Q31="",R31=""),"",Q31*R31)</f>
        <v/>
      </c>
      <c r="T31" s="15" t="str">
        <f aca="false">IF(S31="","",IF(S31&gt;='Scoring Method'!$B$22,"Critical",IF(S31&gt;='Scoring Method'!$B$21,"High",IF(S31&gt;='Scoring Method'!$B$20,"Medium","Low"))))</f>
        <v/>
      </c>
    </row>
  </sheetData>
  <conditionalFormatting sqref="K2:K31">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conditionalFormatting sqref="T2:T31">
    <cfRule type="cellIs" priority="6" operator="equal" aboveAverage="0" equalAverage="0" bottom="0" percent="0" rank="0" text="" dxfId="0">
      <formula>"Critical"</formula>
    </cfRule>
    <cfRule type="cellIs" priority="7" operator="equal" aboveAverage="0" equalAverage="0" bottom="0" percent="0" rank="0" text="" dxfId="1">
      <formula>"High"</formula>
    </cfRule>
    <cfRule type="cellIs" priority="8" operator="equal" aboveAverage="0" equalAverage="0" bottom="0" percent="0" rank="0" text="" dxfId="2">
      <formula>"Medium"</formula>
    </cfRule>
    <cfRule type="cellIs" priority="9" operator="equal" aboveAverage="0" equalAverage="0" bottom="0" percent="0" rank="0" text="" dxfId="3">
      <formula>"Low"</formula>
    </cfRule>
  </conditionalFormatting>
  <dataValidations count="4">
    <dataValidation allowBlank="true" error="1 to 5 only" errorStyle="stop" operator="between" showDropDown="false" showErrorMessage="true" showInputMessage="false" sqref="H2:I31 Q2:R31" type="whole">
      <formula1>1</formula1>
      <formula2>5</formula2>
    </dataValidation>
    <dataValidation allowBlank="true" errorStyle="stop" operator="between" showDropDown="false" showErrorMessage="false" showInputMessage="false" sqref="F2:F31" type="list">
      <formula1>"GOVERN,IDENTIFY,PROTECT,DETECT,RESPOND,RECOVER"</formula1>
      <formula2>0</formula2>
    </dataValidation>
    <dataValidation allowBlank="true" errorStyle="stop" operator="between" showDropDown="false" showErrorMessage="false" showInputMessage="false" sqref="G2:G31" type="list">
      <formula1>'CSF Gap Assessment'!$B$2:$B$23</formula1>
      <formula2>0</formula2>
    </dataValidation>
    <dataValidation allowBlank="true" errorStyle="stop" operator="between" showDropDown="false" showErrorMessage="false" showInputMessage="false" sqref="M2:M31" type="list">
      <formula1>"Mitigate,Accept,Transfer,Avoid"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22"/>
    <col collapsed="false" customWidth="true" hidden="false" outlineLevel="0" max="4" min="4" style="0" width="24"/>
  </cols>
  <sheetData>
    <row r="1" customFormat="false" ht="15" hidden="false" customHeight="false" outlineLevel="0" collapsed="false">
      <c r="A1" s="1" t="s">
        <v>394</v>
      </c>
    </row>
    <row r="3" customFormat="false" ht="15" hidden="false" customHeight="false" outlineLevel="0" collapsed="false">
      <c r="A3" s="6" t="s">
        <v>51</v>
      </c>
      <c r="B3" s="6" t="s">
        <v>395</v>
      </c>
      <c r="C3" s="6" t="s">
        <v>396</v>
      </c>
    </row>
    <row r="4" customFormat="false" ht="15" hidden="false" customHeight="false" outlineLevel="0" collapsed="false">
      <c r="A4" s="3" t="s">
        <v>59</v>
      </c>
      <c r="B4" s="2" t="n">
        <f aca="false">COUNTIF('Risk Register'!$K$2:$K$31,A4)</f>
        <v>1</v>
      </c>
      <c r="C4" s="2" t="n">
        <f aca="false">COUNTIF('Risk Register'!$T$2:$T$31,A4)</f>
        <v>0</v>
      </c>
    </row>
    <row r="5" customFormat="false" ht="15" hidden="false" customHeight="false" outlineLevel="0" collapsed="false">
      <c r="A5" s="3" t="s">
        <v>57</v>
      </c>
      <c r="B5" s="2" t="n">
        <f aca="false">COUNTIF('Risk Register'!$K$2:$K$31,A5)</f>
        <v>6</v>
      </c>
      <c r="C5" s="2" t="n">
        <f aca="false">COUNTIF('Risk Register'!$T$2:$T$31,A5)</f>
        <v>0</v>
      </c>
    </row>
    <row r="6" customFormat="false" ht="15" hidden="false" customHeight="false" outlineLevel="0" collapsed="false">
      <c r="A6" s="3" t="s">
        <v>55</v>
      </c>
      <c r="B6" s="2" t="n">
        <f aca="false">COUNTIF('Risk Register'!$K$2:$K$31,A6)</f>
        <v>7</v>
      </c>
      <c r="C6" s="2" t="n">
        <f aca="false">COUNTIF('Risk Register'!$T$2:$T$31,A6)</f>
        <v>6</v>
      </c>
    </row>
    <row r="7" customFormat="false" ht="15" hidden="false" customHeight="false" outlineLevel="0" collapsed="false">
      <c r="A7" s="3" t="s">
        <v>53</v>
      </c>
      <c r="B7" s="2" t="n">
        <f aca="false">COUNTIF('Risk Register'!$K$2:$K$31,A7)</f>
        <v>0</v>
      </c>
      <c r="C7" s="2" t="n">
        <f aca="false">COUNTIF('Risk Register'!$T$2:$T$31,A7)</f>
        <v>8</v>
      </c>
    </row>
    <row r="8" customFormat="false" ht="15" hidden="false" customHeight="false" outlineLevel="0" collapsed="false">
      <c r="A8" s="3" t="s">
        <v>397</v>
      </c>
      <c r="B8" s="16" t="n">
        <f aca="false">SUM(B4:B7)</f>
        <v>14</v>
      </c>
      <c r="C8" s="16" t="n">
        <f aca="false">SUM(C4:C7)</f>
        <v>14</v>
      </c>
    </row>
    <row r="11" customFormat="false" ht="15" hidden="false" customHeight="false" outlineLevel="0" collapsed="false">
      <c r="A11" s="6" t="s">
        <v>254</v>
      </c>
      <c r="B11" s="6" t="s">
        <v>398</v>
      </c>
      <c r="C11" s="6" t="s">
        <v>399</v>
      </c>
      <c r="D11" s="6" t="s">
        <v>400</v>
      </c>
    </row>
    <row r="12" customFormat="false" ht="15" hidden="false" customHeight="false" outlineLevel="0" collapsed="false">
      <c r="A12" s="3" t="s">
        <v>160</v>
      </c>
      <c r="B12" s="2" t="n">
        <f aca="false">COUNTIF('Risk Register'!$F$2:$F$31,A12)</f>
        <v>3</v>
      </c>
      <c r="C12" s="17" t="n">
        <f aca="false">IFERROR(AVERAGEIF('CSF Gap Assessment'!$A$2:$A$23,A12,'CSF Gap Assessment'!$F$2:$F$23),"")</f>
        <v>1.66666666666667</v>
      </c>
      <c r="D12" s="17" t="n">
        <f aca="false">IFERROR(AVERAGEIF('CSF Gap Assessment'!$A$2:$A$23,A12,'CSF Gap Assessment'!$D$2:$D$23),"")</f>
        <v>1.16666666666667</v>
      </c>
    </row>
    <row r="13" customFormat="false" ht="15" hidden="false" customHeight="false" outlineLevel="0" collapsed="false">
      <c r="A13" s="3" t="s">
        <v>183</v>
      </c>
      <c r="B13" s="2" t="n">
        <f aca="false">COUNTIF('Risk Register'!$F$2:$F$31,A13)</f>
        <v>0</v>
      </c>
      <c r="C13" s="17" t="n">
        <f aca="false">IFERROR(AVERAGEIF('CSF Gap Assessment'!$A$2:$A$23,A13,'CSF Gap Assessment'!$F$2:$F$23),"")</f>
        <v>1.66666666666667</v>
      </c>
      <c r="D13" s="17" t="n">
        <f aca="false">IFERROR(AVERAGEIF('CSF Gap Assessment'!$A$2:$A$23,A13,'CSF Gap Assessment'!$D$2:$D$23),"")</f>
        <v>1</v>
      </c>
    </row>
    <row r="14" customFormat="false" ht="15" hidden="false" customHeight="false" outlineLevel="0" collapsed="false">
      <c r="A14" s="3" t="s">
        <v>196</v>
      </c>
      <c r="B14" s="2" t="n">
        <f aca="false">COUNTIF('Risk Register'!$F$2:$F$31,A14)</f>
        <v>8</v>
      </c>
      <c r="C14" s="17" t="n">
        <f aca="false">IFERROR(AVERAGEIF('CSF Gap Assessment'!$A$2:$A$23,A14,'CSF Gap Assessment'!$F$2:$F$23),"")</f>
        <v>1.8</v>
      </c>
      <c r="D14" s="17" t="n">
        <f aca="false">IFERROR(AVERAGEIF('CSF Gap Assessment'!$A$2:$A$23,A14,'CSF Gap Assessment'!$D$2:$D$23),"")</f>
        <v>1.2</v>
      </c>
    </row>
    <row r="15" customFormat="false" ht="15" hidden="false" customHeight="false" outlineLevel="0" collapsed="false">
      <c r="A15" s="3" t="s">
        <v>217</v>
      </c>
      <c r="B15" s="2" t="n">
        <f aca="false">COUNTIF('Risk Register'!$F$2:$F$31,A15)</f>
        <v>1</v>
      </c>
      <c r="C15" s="17" t="n">
        <f aca="false">IFERROR(AVERAGEIF('CSF Gap Assessment'!$A$2:$A$23,A15,'CSF Gap Assessment'!$F$2:$F$23),"")</f>
        <v>2</v>
      </c>
      <c r="D15" s="17" t="n">
        <f aca="false">IFERROR(AVERAGEIF('CSF Gap Assessment'!$A$2:$A$23,A15,'CSF Gap Assessment'!$D$2:$D$23),"")</f>
        <v>0.5</v>
      </c>
    </row>
    <row r="16" customFormat="false" ht="15" hidden="false" customHeight="false" outlineLevel="0" collapsed="false">
      <c r="A16" s="3" t="s">
        <v>225</v>
      </c>
      <c r="B16" s="2" t="n">
        <f aca="false">COUNTIF('Risk Register'!$F$2:$F$31,A16)</f>
        <v>1</v>
      </c>
      <c r="C16" s="17" t="n">
        <f aca="false">IFERROR(AVERAGEIF('CSF Gap Assessment'!$A$2:$A$23,A16,'CSF Gap Assessment'!$F$2:$F$23),"")</f>
        <v>1.25</v>
      </c>
      <c r="D16" s="17" t="n">
        <f aca="false">IFERROR(AVERAGEIF('CSF Gap Assessment'!$A$2:$A$23,A16,'CSF Gap Assessment'!$D$2:$D$23),"")</f>
        <v>1</v>
      </c>
    </row>
    <row r="17" customFormat="false" ht="15" hidden="false" customHeight="false" outlineLevel="0" collapsed="false">
      <c r="A17" s="3" t="s">
        <v>240</v>
      </c>
      <c r="B17" s="2" t="n">
        <f aca="false">COUNTIF('Risk Register'!$F$2:$F$31,A17)</f>
        <v>1</v>
      </c>
      <c r="C17" s="17" t="n">
        <f aca="false">IFERROR(AVERAGEIF('CSF Gap Assessment'!$A$2:$A$23,A17,'CSF Gap Assessment'!$F$2:$F$23),"")</f>
        <v>2</v>
      </c>
      <c r="D17" s="17" t="n">
        <f aca="false">IFERROR(AVERAGEIF('CSF Gap Assessment'!$A$2:$A$23,A17,'CSF Gap Assessment'!$D$2:$D$23),"")</f>
        <v>0.5</v>
      </c>
    </row>
    <row r="19" customFormat="false" ht="15" hidden="false" customHeight="false" outlineLevel="0" collapsed="false">
      <c r="A19" s="3" t="s">
        <v>401</v>
      </c>
      <c r="B19" s="16" t="n">
        <f aca="false">COUNT(Assets!$F$2:$F$40)</f>
        <v>14</v>
      </c>
    </row>
    <row r="20" customFormat="false" ht="15" hidden="false" customHeight="false" outlineLevel="0" collapsed="false">
      <c r="A20" s="3" t="s">
        <v>402</v>
      </c>
      <c r="B20" s="16" t="n">
        <f aca="false">COUNT('CSF Gap Assessment'!$D$2:$D$23)</f>
        <v>22</v>
      </c>
    </row>
    <row r="21" customFormat="false" ht="15" hidden="false" customHeight="false" outlineLevel="0" collapsed="false">
      <c r="A21" s="3" t="s">
        <v>403</v>
      </c>
      <c r="B21" s="16" t="n">
        <f aca="false">IF(COUNT('Risk Register'!$J$2:$J$31)=0,"",MAX('Risk Register'!$J$2:$J$31))</f>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2026-10-15T21:10:25Z</dcterms:created>
  <dc:creator>Waseem Akram Shaik</dc:creator>
  <dc:description/>
  <dc:language>en-US</dc:language>
  <cp:lastModifiedBy>Waseem Akram Shaik</cp:lastModifiedBy>
  <dcterms:modified xsi:type="dcterms:W3CDTF">2026-10-15T16:10:27Z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